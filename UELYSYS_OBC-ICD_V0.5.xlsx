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265dbcc270c170b0/02.Business/04.UEL/01.Documents/Nuri_5th/UELYSYS/"/>
    </mc:Choice>
  </mc:AlternateContent>
  <xr:revisionPtr revIDLastSave="382" documentId="13_ncr:1_{D03E50EA-FA5F-404E-A8EA-3C91609B4AAB}" xr6:coauthVersionLast="47" xr6:coauthVersionMax="47" xr10:uidLastSave="{F0E7934B-F206-4F9F-8946-E7821A23FA6F}"/>
  <bookViews>
    <workbookView xWindow="-120" yWindow="-120" windowWidth="51840" windowHeight="21120" xr2:uid="{00000000-000D-0000-FFFF-FFFF00000000}"/>
  </bookViews>
  <sheets>
    <sheet name="00_DocInfo" sheetId="4" r:id="rId1"/>
    <sheet name="01_FLOW" sheetId="5" r:id="rId2"/>
    <sheet name="02_Protocol" sheetId="6" r:id="rId3"/>
    <sheet name="03_CRC" sheetId="7" r:id="rId4"/>
    <sheet name="UEL_OBC_ICD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1" i="3" l="1"/>
  <c r="N45" i="3"/>
  <c r="N36" i="3"/>
  <c r="N17" i="3"/>
  <c r="N29" i="3"/>
  <c r="N53" i="3"/>
  <c r="N60" i="3"/>
  <c r="H60" i="3"/>
  <c r="H53" i="3"/>
  <c r="H45" i="3"/>
  <c r="H36" i="3"/>
  <c r="H29" i="3"/>
  <c r="H21" i="3"/>
  <c r="H17" i="3"/>
</calcChain>
</file>

<file path=xl/sharedStrings.xml><?xml version="1.0" encoding="utf-8"?>
<sst xmlns="http://schemas.openxmlformats.org/spreadsheetml/2006/main" count="626" uniqueCount="320">
  <si>
    <t>Command</t>
  </si>
  <si>
    <t>CMD code</t>
  </si>
  <si>
    <t>Data Type</t>
  </si>
  <si>
    <t>Length</t>
  </si>
  <si>
    <t>Description</t>
  </si>
  <si>
    <t>Reply</t>
  </si>
  <si>
    <t>Beacon</t>
  </si>
  <si>
    <t>0x20</t>
  </si>
  <si>
    <t>Cmd</t>
  </si>
  <si>
    <t>uint8</t>
  </si>
  <si>
    <t>init error</t>
  </si>
  <si>
    <t>0 ~ 255</t>
  </si>
  <si>
    <t>uint16</t>
  </si>
  <si>
    <t>0 ~ 65535</t>
  </si>
  <si>
    <t>uint32</t>
  </si>
  <si>
    <t>0 ~ 4,294,967,295</t>
  </si>
  <si>
    <t>Alpha temp</t>
  </si>
  <si>
    <t>int8</t>
  </si>
  <si>
    <t>-128 ~ 127</t>
  </si>
  <si>
    <t>Beta temp</t>
  </si>
  <si>
    <t>imu temp</t>
  </si>
  <si>
    <t>tc 1</t>
  </si>
  <si>
    <t>sd mount state</t>
  </si>
  <si>
    <t>0 or 1</t>
  </si>
  <si>
    <t>0x41</t>
  </si>
  <si>
    <t>Status</t>
  </si>
  <si>
    <t>0x00</t>
  </si>
  <si>
    <t>0x44</t>
  </si>
  <si>
    <t>Image Number</t>
  </si>
  <si>
    <t>Last Chunk Size</t>
  </si>
  <si>
    <t>0x45</t>
  </si>
  <si>
    <t>0x21</t>
  </si>
  <si>
    <t>L_Speed</t>
  </si>
  <si>
    <t>R_Speed</t>
  </si>
  <si>
    <t>la_mA</t>
  </si>
  <si>
    <t>Duration</t>
  </si>
  <si>
    <t>lb_mA</t>
  </si>
  <si>
    <t>lc_mA</t>
  </si>
  <si>
    <t>lu_mA</t>
  </si>
  <si>
    <t>lv_mA</t>
  </si>
  <si>
    <t>lw_mA</t>
  </si>
  <si>
    <t>0x54</t>
  </si>
  <si>
    <t>Data Slot</t>
  </si>
  <si>
    <t>Data Number</t>
  </si>
  <si>
    <t>0x55</t>
  </si>
  <si>
    <t>0x46</t>
  </si>
  <si>
    <t>Destination</t>
  </si>
  <si>
    <t>Payload</t>
  </si>
  <si>
    <t>Valid Range</t>
  </si>
  <si>
    <t>Example</t>
  </si>
  <si>
    <t>CRC16</t>
  </si>
  <si>
    <t>CRC16 (CCITT-FALSE), Cmd~payload (excl. CRC), BE</t>
  </si>
  <si>
    <t>0x0000 ~ 0xFFFF</t>
  </si>
  <si>
    <t>-</t>
  </si>
  <si>
    <t>Command ID</t>
  </si>
  <si>
    <t>0x00 0x01</t>
  </si>
  <si>
    <t>0x19</t>
  </si>
  <si>
    <t>0x01</t>
  </si>
  <si>
    <t>0x00 ~ 0xFF</t>
  </si>
  <si>
    <t>0x12</t>
  </si>
  <si>
    <t>1 ~ 251</t>
  </si>
  <si>
    <t>0x23</t>
  </si>
  <si>
    <t>0 ~ (Total Chunk - 1)</t>
  </si>
  <si>
    <t>0x34 0x45</t>
  </si>
  <si>
    <t>0x02</t>
  </si>
  <si>
    <t>0x12 0x34</t>
  </si>
  <si>
    <t>Image Data</t>
  </si>
  <si>
    <t>0x12 0x34 0x56 ...</t>
  </si>
  <si>
    <t>CRC32</t>
  </si>
  <si>
    <t>0x00000000 ~ 0xFFFFFFFF</t>
  </si>
  <si>
    <t>0x32</t>
  </si>
  <si>
    <t>0x00 0x64</t>
  </si>
  <si>
    <t>0x0A</t>
  </si>
  <si>
    <t>항목</t>
  </si>
  <si>
    <t>값</t>
  </si>
  <si>
    <t>Version</t>
  </si>
  <si>
    <t>Date</t>
  </si>
  <si>
    <t>Author</t>
  </si>
  <si>
    <t>Change Summary</t>
  </si>
  <si>
    <t>Comment</t>
  </si>
  <si>
    <t>Document Title</t>
  </si>
  <si>
    <t>Scope</t>
  </si>
  <si>
    <t>Note</t>
  </si>
  <si>
    <t>이 문서는 명령어/데이터 포맷을 정의한다.</t>
  </si>
  <si>
    <t>Transport</t>
  </si>
  <si>
    <t>libcsp over SocketCAN ( VER 1.6)</t>
  </si>
  <si>
    <t>CAN Interface</t>
  </si>
  <si>
    <t>can0 (1 Mbps)</t>
  </si>
  <si>
    <t>CSP DPORT</t>
  </si>
  <si>
    <t>25</t>
  </si>
  <si>
    <t>Chunk Payload Size</t>
  </si>
  <si>
    <t>247 bytes</t>
    <phoneticPr fontId="3" type="noConversion"/>
  </si>
  <si>
    <t>Chunk Response Size</t>
  </si>
  <si>
    <t>256 bytes (hdr 5B + data 251B)</t>
  </si>
  <si>
    <t>Implemented CMD Range</t>
  </si>
  <si>
    <t>0x41 ~ 0x46 (v0.1), 0x47 reserved (not implemented)</t>
  </si>
  <si>
    <r>
      <rPr>
        <sz val="11"/>
        <color rgb="FF000000"/>
        <rFont val="맑은 고딕"/>
        <family val="3"/>
        <charset val="129"/>
      </rPr>
      <t>원본</t>
    </r>
    <r>
      <rPr>
        <sz val="11"/>
        <color rgb="FF000000"/>
        <rFont val="Aptos Narrow"/>
        <family val="2"/>
        <scheme val="minor"/>
      </rPr>
      <t xml:space="preserve"> </t>
    </r>
    <r>
      <rPr>
        <sz val="11"/>
        <color rgb="FF000000"/>
        <rFont val="맑은 고딕"/>
        <family val="3"/>
        <charset val="129"/>
      </rPr>
      <t>작성</t>
    </r>
    <phoneticPr fontId="3" type="noConversion"/>
  </si>
  <si>
    <t>강상연</t>
    <phoneticPr fontId="3" type="noConversion"/>
  </si>
  <si>
    <t>박정원</t>
    <phoneticPr fontId="3" type="noConversion"/>
  </si>
  <si>
    <t>2025.02.01</t>
    <phoneticPr fontId="3" type="noConversion"/>
  </si>
  <si>
    <t>2026.03.06</t>
    <phoneticPr fontId="3" type="noConversion"/>
  </si>
  <si>
    <t>양식 및 데이터 가공</t>
    <phoneticPr fontId="3" type="noConversion"/>
  </si>
  <si>
    <t>UELSYS_OBC ICD</t>
    <phoneticPr fontId="3" type="noConversion"/>
  </si>
  <si>
    <r>
      <t xml:space="preserve">NARA OBC ↔ UELSYS Payload </t>
    </r>
    <r>
      <rPr>
        <sz val="11"/>
        <color rgb="FF1F1F1F"/>
        <rFont val="맑은 고딕"/>
        <family val="3"/>
        <charset val="129"/>
      </rPr>
      <t>통신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3"/>
        <charset val="129"/>
      </rPr>
      <t>규격</t>
    </r>
    <phoneticPr fontId="3" type="noConversion"/>
  </si>
  <si>
    <r>
      <t xml:space="preserve">1. </t>
    </r>
    <r>
      <rPr>
        <b/>
        <sz val="11"/>
        <color rgb="FFFFFFFF"/>
        <rFont val="맑은 고딕"/>
        <family val="3"/>
        <charset val="129"/>
      </rPr>
      <t>엔디언</t>
    </r>
    <r>
      <rPr>
        <b/>
        <sz val="11"/>
        <color rgb="FFFFFFFF"/>
        <rFont val="Calibri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규칙표</t>
    </r>
    <phoneticPr fontId="3" type="noConversion"/>
  </si>
  <si>
    <t>섹션</t>
  </si>
  <si>
    <t>내용</t>
  </si>
  <si>
    <t>엔디언 규칙</t>
  </si>
  <si>
    <t>기본 원칙</t>
  </si>
  <si>
    <t>모든 2바이트 이상 정수 필드는 빅 엔디언(Big-endian MSB first)으로 전송</t>
  </si>
  <si>
    <t>적용 대상</t>
  </si>
  <si>
    <t>chunk_no / total_chunks / last_chunk_size 등 uint16/uint32 필드</t>
  </si>
  <si>
    <t>예시 값</t>
  </si>
  <si>
    <t>chunk_no = 0x0010 일 때 전송 바이트 순서: 0x00(High) 0x10(Low)</t>
  </si>
  <si>
    <t>C 디코딩 예시</t>
  </si>
  <si>
    <t>val = ((uint16_t)p[i] &lt;&lt; 8) | p[i+1];  // big-endian 조합</t>
  </si>
  <si>
    <t>비고</t>
  </si>
  <si>
    <t>코드(hex)</t>
  </si>
  <si>
    <t>이름</t>
  </si>
  <si>
    <t>종류</t>
  </si>
  <si>
    <t>설명</t>
  </si>
  <si>
    <t>N5C_ST_OK</t>
  </si>
  <si>
    <t>OK</t>
  </si>
  <si>
    <t>정상</t>
  </si>
  <si>
    <t>Error</t>
  </si>
  <si>
    <t>0xF5</t>
  </si>
  <si>
    <t>Payload 규칙</t>
  </si>
  <si>
    <t>CRC 규격 (CRC Specification)</t>
  </si>
  <si>
    <t>비고/참고</t>
  </si>
  <si>
    <t>1. CRC 적용 정책 (Commands &amp; Type)</t>
  </si>
  <si>
    <t>CRC 정책</t>
  </si>
  <si>
    <t>0x41~0x44, 0x46: CRC16, 0x45: CRC32</t>
  </si>
  <si>
    <t>대용량 전송(0x45) 신뢰성 확보 목적</t>
  </si>
  <si>
    <t>Request/Reply</t>
  </si>
  <si>
    <t>Request와 Reply 모두 동일한 CRC 정책 적용 (CRC 필드 포함 시 항상 payload 마지막)</t>
  </si>
  <si>
    <t>2. CRC 계산 범위 / 전송 규칙</t>
  </si>
  <si>
    <t>계산 범위</t>
  </si>
  <si>
    <t>대상 바이트</t>
  </si>
  <si>
    <t>CSP payload 내부의 [CMD(1B)] + [유효 데이터]</t>
  </si>
  <si>
    <t>CSP 헤더/프레이밍 제외</t>
  </si>
  <si>
    <t>CRC 제외</t>
  </si>
  <si>
    <t>CRC 필드 자체는 계산 범위에 포함하지 않음</t>
  </si>
  <si>
    <t>전송 규칙</t>
  </si>
  <si>
    <t>필드 위치</t>
  </si>
  <si>
    <t>CRC 값은 payload의 마지막 필드로 추가</t>
  </si>
  <si>
    <t>Request/Reply 공통</t>
  </si>
  <si>
    <t>바이트 오더</t>
  </si>
  <si>
    <t>CRC16/CRC32 값은 Big-endian(MSB first)으로 전송</t>
  </si>
  <si>
    <t>예) CRC16=0x1234 → 12 34</t>
  </si>
  <si>
    <t>정수 엔디언</t>
  </si>
  <si>
    <t>CRC 외 모든 멀티바이트 정수도 Big-endian</t>
  </si>
  <si>
    <t>02_protocol 참고</t>
  </si>
  <si>
    <t>3. CRC16 규격 (CRC16-CCITT-FALSE)</t>
  </si>
  <si>
    <t>Polynomial</t>
  </si>
  <si>
    <t>0x1021</t>
  </si>
  <si>
    <t>RefIn/RefOut=false (non-reflected)</t>
  </si>
  <si>
    <t>Init</t>
  </si>
  <si>
    <t>0xFFFF</t>
  </si>
  <si>
    <t>XorOut</t>
  </si>
  <si>
    <t>0x0000</t>
  </si>
  <si>
    <t>RefIn / RefOut</t>
  </si>
  <si>
    <t>false / false</t>
  </si>
  <si>
    <t>출력 길이</t>
  </si>
  <si>
    <t>16 bits (2 bytes)</t>
  </si>
  <si>
    <t>전송은 big-endian</t>
  </si>
  <si>
    <t>4. CRC32 규격 (CRC-32/ISO-HDLC)</t>
  </si>
  <si>
    <t>0x04C11DB7</t>
  </si>
  <si>
    <t>RefIn/RefOut=true (reflected)</t>
  </si>
  <si>
    <t>0xFFFFFFFF</t>
  </si>
  <si>
    <t>true / true</t>
  </si>
  <si>
    <t>32 bits (4 bytes)</t>
  </si>
  <si>
    <t>5. CRC 오류 처리</t>
  </si>
  <si>
    <t>오류 처리</t>
  </si>
  <si>
    <t>검증 실패</t>
  </si>
  <si>
    <t>CRC 검증 실패 시 해당 Command는 무효 처리(drop)하고 payload 데이터는 사용하지 않음</t>
  </si>
  <si>
    <t>(선택) Status/Error로 보고</t>
  </si>
  <si>
    <t>재전송</t>
  </si>
  <si>
    <t>재전송 정책/타임아웃은 상위(OBC Initiator)에서 관리</t>
  </si>
  <si>
    <t>6. CRC 테스트 벡터 (Implementation Verification)</t>
  </si>
  <si>
    <t>테스트</t>
  </si>
  <si>
    <t>목적</t>
  </si>
  <si>
    <t>코드/UT/상호운용성 검증을 위한 입력 바이트열과 기대 CRC를 제공</t>
  </si>
  <si>
    <t>본 시트 파라미터 기준</t>
  </si>
  <si>
    <t>CRC</t>
  </si>
  <si>
    <t>Test Name</t>
  </si>
  <si>
    <t>Input (HEX)</t>
  </si>
  <si>
    <t>Expected CRC (HEX)</t>
  </si>
  <si>
    <t>ASCII "123456789"</t>
  </si>
  <si>
    <t>31 32 33 34 35 36 37 38 39</t>
  </si>
  <si>
    <t>0x29B1</t>
  </si>
  <si>
    <t>체크값: 0x29B1</t>
  </si>
  <si>
    <t>0xCBF43926</t>
  </si>
  <si>
    <t>체크값: 0xCBF43926</t>
  </si>
  <si>
    <t>CMD0x41 minimal example</t>
  </si>
  <si>
    <t>41 00 00</t>
  </si>
  <si>
    <t>0xE601</t>
  </si>
  <si>
    <t>예시: CMD+DATA</t>
  </si>
  <si>
    <t>CMD0x44 metadata example</t>
  </si>
  <si>
    <t>44 01 02 00 10 20</t>
  </si>
  <si>
    <t>0x0289</t>
  </si>
  <si>
    <t>total_chunks=0x0010(BE)</t>
  </si>
  <si>
    <t>CMD0x45 chunk example</t>
  </si>
  <si>
    <t xml:space="preserve">45 00 00 00 00 AA AA AA AA AA AA AA AA AA AA AA AA AA AA AA AA </t>
  </si>
  <si>
    <t>0x13E604EA</t>
  </si>
  <si>
    <t>header 5B + chunk data 16B (AA...)</t>
  </si>
  <si>
    <t>command list</t>
    <phoneticPr fontId="3" type="noConversion"/>
  </si>
  <si>
    <t>TO-DO LIST</t>
    <phoneticPr fontId="3" type="noConversion"/>
  </si>
  <si>
    <t>0x20</t>
    <phoneticPr fontId="3" type="noConversion"/>
  </si>
  <si>
    <t>Image File CRC32</t>
  </si>
  <si>
    <t>이미지 파일 전체 데이터에 대한 CRC32 (chunk 분할 이전 계산, BE)</t>
  </si>
  <si>
    <t>0xA4 0x1B 0x2C 0x3D</t>
  </si>
  <si>
    <r>
      <rPr>
        <sz val="11"/>
        <color rgb="FF1F1F1F"/>
        <rFont val="맑은 고딕"/>
        <family val="3"/>
        <charset val="129"/>
      </rPr>
      <t>박정원(</t>
    </r>
    <r>
      <rPr>
        <sz val="11"/>
        <color rgb="FF1F1F1F"/>
        <rFont val="Calibri"/>
        <family val="3"/>
      </rPr>
      <t>jeongwon.park@uel.co.kr</t>
    </r>
    <r>
      <rPr>
        <sz val="11"/>
        <color rgb="FF1F1F1F"/>
        <rFont val="맑은 고딕"/>
        <family val="3"/>
        <charset val="129"/>
      </rPr>
      <t>), 강상연</t>
    </r>
    <r>
      <rPr>
        <sz val="11"/>
        <color rgb="FF1F1F1F"/>
        <rFont val="Calibri"/>
        <family val="2"/>
      </rPr>
      <t>(sykang4966@uel.co.kr)</t>
    </r>
    <phoneticPr fontId="3" type="noConversion"/>
  </si>
  <si>
    <r>
      <t xml:space="preserve">2. N5C Status / Error </t>
    </r>
    <r>
      <rPr>
        <b/>
        <sz val="11"/>
        <color rgb="FFFFFFFF"/>
        <rFont val="맑은 고딕"/>
        <family val="3"/>
        <charset val="129"/>
      </rPr>
      <t>코드</t>
    </r>
    <r>
      <rPr>
        <b/>
        <sz val="11"/>
        <color rgb="FFFFFFFF"/>
        <rFont val="Calibri"/>
        <family val="2"/>
      </rPr>
      <t xml:space="preserve"> </t>
    </r>
    <r>
      <rPr>
        <b/>
        <sz val="11"/>
        <color rgb="FFFFFFFF"/>
        <rFont val="맑은 고딕"/>
        <family val="3"/>
        <charset val="129"/>
      </rPr>
      <t>표</t>
    </r>
    <phoneticPr fontId="3" type="noConversion"/>
  </si>
  <si>
    <t>0xF0 ~ 0xFF</t>
    <phoneticPr fontId="3" type="noConversion"/>
  </si>
  <si>
    <t>미정</t>
    <phoneticPr fontId="3" type="noConversion"/>
  </si>
  <si>
    <t>추가 예정</t>
    <phoneticPr fontId="3" type="noConversion"/>
  </si>
  <si>
    <t>boot count a</t>
    <phoneticPr fontId="3" type="noConversion"/>
  </si>
  <si>
    <t>boot time a</t>
    <phoneticPr fontId="3" type="noConversion"/>
  </si>
  <si>
    <t>boot time b</t>
    <phoneticPr fontId="3" type="noConversion"/>
  </si>
  <si>
    <t>boot count b</t>
    <phoneticPr fontId="3" type="noConversion"/>
  </si>
  <si>
    <t>uint16</t>
    <phoneticPr fontId="3" type="noConversion"/>
  </si>
  <si>
    <t>부팅 횟수 beta</t>
    <phoneticPr fontId="3" type="noConversion"/>
  </si>
  <si>
    <t>UEL OBC
(CSP Node 11)
(CSP Dport 25)</t>
    <phoneticPr fontId="3" type="noConversion"/>
  </si>
  <si>
    <t>0x61, 0x62</t>
    <phoneticPr fontId="3" type="noConversion"/>
  </si>
  <si>
    <t>0x61</t>
    <phoneticPr fontId="3" type="noConversion"/>
  </si>
  <si>
    <t>Shutter count a</t>
    <phoneticPr fontId="3" type="noConversion"/>
  </si>
  <si>
    <t>Shutter count b</t>
    <phoneticPr fontId="3" type="noConversion"/>
  </si>
  <si>
    <t>To. UELYSYS-OBC (RES)</t>
    <phoneticPr fontId="3" type="noConversion"/>
  </si>
  <si>
    <t>from. NARA-OBC (REQ)</t>
    <phoneticPr fontId="3" type="noConversion"/>
  </si>
  <si>
    <t>부팅 횟수 alpha</t>
    <phoneticPr fontId="3" type="noConversion"/>
  </si>
  <si>
    <t>0 ~ 255</t>
    <phoneticPr fontId="3" type="noConversion"/>
  </si>
  <si>
    <t>촬영에 사용할 카메라 번호 (0x61, 0x62)</t>
    <phoneticPr fontId="3" type="noConversion"/>
  </si>
  <si>
    <t>초기화 에러 코드</t>
  </si>
  <si>
    <t>부팅 시간 alpha</t>
    <phoneticPr fontId="3" type="noConversion"/>
  </si>
  <si>
    <t>부팅 시간 beta</t>
    <phoneticPr fontId="3" type="noConversion"/>
  </si>
  <si>
    <t>alpha 카메라 촬영 횟수</t>
    <phoneticPr fontId="3" type="noConversion"/>
  </si>
  <si>
    <t>beta 카메라 촬영 횟수</t>
    <phoneticPr fontId="3" type="noConversion"/>
  </si>
  <si>
    <t>Alpha 온도</t>
  </si>
  <si>
    <t>Beta 온도</t>
  </si>
  <si>
    <t>IMU 온도</t>
  </si>
  <si>
    <t>SD 마운트 상태</t>
  </si>
  <si>
    <t>총 전송 바이트</t>
  </si>
  <si>
    <t>사진 촬영 요청</t>
  </si>
  <si>
    <t>촬영 요청 처리 결과 (0x00: Success)</t>
  </si>
  <si>
    <t>다운로드 메타 요청</t>
    <phoneticPr fontId="3" type="noConversion"/>
  </si>
  <si>
    <t>마지막 chunk의 유효 바이트 수 (1~251)</t>
  </si>
  <si>
    <t>청크 다운로드 요청</t>
    <phoneticPr fontId="3" type="noConversion"/>
  </si>
  <si>
    <t>전송되는 chunk 번호</t>
  </si>
  <si>
    <t>해당 chunk의 이미지 데이터 (바이트 배열)</t>
  </si>
  <si>
    <t>247 bytes (last chunk 제외)</t>
  </si>
  <si>
    <t>모터 모드 제어</t>
  </si>
  <si>
    <t>좌측 모터 속도</t>
  </si>
  <si>
    <t>우측 모터 속도</t>
  </si>
  <si>
    <t>la 전류 (mA)</t>
  </si>
  <si>
    <t>동작 시간</t>
  </si>
  <si>
    <t>lb 전류 (mA)</t>
  </si>
  <si>
    <t>lc 전류 (mA)</t>
  </si>
  <si>
    <t>lu 전류 (mA)</t>
  </si>
  <si>
    <t>lv 전류 (mA)</t>
  </si>
  <si>
    <t>lw 전류 (mA)</t>
  </si>
  <si>
    <t>센싱 데이터
다운로드 메타 요청</t>
    <phoneticPr fontId="3" type="noConversion"/>
  </si>
  <si>
    <t>슬롯 내 데이터 번호</t>
  </si>
  <si>
    <t>해당 데이터의 슬롯 번호</t>
  </si>
  <si>
    <t>해당 데이터의 번호</t>
  </si>
  <si>
    <t>센싱 데이터
청크 다운로드 요청</t>
    <phoneticPr fontId="3" type="noConversion"/>
  </si>
  <si>
    <t>해당 chunk의 센서 데이터 (바이트 배열)</t>
  </si>
  <si>
    <t>0x00 0x0E</t>
    <phoneticPr fontId="3" type="noConversion"/>
  </si>
  <si>
    <t>0x00 0x00 0x00 0x55</t>
    <phoneticPr fontId="3" type="noConversion"/>
  </si>
  <si>
    <t>uint32</t>
    <phoneticPr fontId="3" type="noConversion"/>
  </si>
  <si>
    <t>Camera ID</t>
    <phoneticPr fontId="3" type="noConversion"/>
  </si>
  <si>
    <t>Image Number</t>
    <phoneticPr fontId="3" type="noConversion"/>
  </si>
  <si>
    <t>저장할 이미지 번호</t>
    <phoneticPr fontId="3" type="noConversion"/>
  </si>
  <si>
    <t>촬영에 사용한 카메라 번호 (0x61, 0x62)</t>
    <phoneticPr fontId="3" type="noConversion"/>
  </si>
  <si>
    <t>uint8</t>
    <phoneticPr fontId="3" type="noConversion"/>
  </si>
  <si>
    <t>다운로드할 이미지 번호</t>
    <phoneticPr fontId="3" type="noConversion"/>
  </si>
  <si>
    <t>0x12</t>
    <phoneticPr fontId="3" type="noConversion"/>
  </si>
  <si>
    <t>0 : invalid, 1 : valid</t>
    <phoneticPr fontId="3" type="noConversion"/>
  </si>
  <si>
    <t>0x01</t>
    <phoneticPr fontId="3" type="noConversion"/>
  </si>
  <si>
    <t>Image Index</t>
    <phoneticPr fontId="3" type="noConversion"/>
  </si>
  <si>
    <t>이미지 번호</t>
    <phoneticPr fontId="3" type="noConversion"/>
  </si>
  <si>
    <t>Chunk Count</t>
    <phoneticPr fontId="3" type="noConversion"/>
  </si>
  <si>
    <t>총 chunk 개수</t>
    <phoneticPr fontId="3" type="noConversion"/>
  </si>
  <si>
    <t>0 ~ 65535</t>
    <phoneticPr fontId="3" type="noConversion"/>
  </si>
  <si>
    <t>0x2C 0x3D</t>
    <phoneticPr fontId="3" type="noConversion"/>
  </si>
  <si>
    <t>Chunk Index</t>
    <phoneticPr fontId="3" type="noConversion"/>
  </si>
  <si>
    <t>요청할 chunk index</t>
    <phoneticPr fontId="3" type="noConversion"/>
  </si>
  <si>
    <t>다운로드하는 이미지 번호</t>
    <phoneticPr fontId="3" type="noConversion"/>
  </si>
  <si>
    <t>전송되는 chunk index</t>
    <phoneticPr fontId="3" type="noConversion"/>
  </si>
  <si>
    <t>카메라 번호 (0x61, 0x62)</t>
    <phoneticPr fontId="3" type="noConversion"/>
  </si>
  <si>
    <t>카메라 번호(0x61, 0x62)</t>
    <phoneticPr fontId="3" type="noConversion"/>
  </si>
  <si>
    <t>BIN 파일 전체 데이터에 대한 CRC32 (chunk 분할 이전 계산, BE)</t>
    <phoneticPr fontId="3" type="noConversion"/>
  </si>
  <si>
    <t>0x00000000 ~ 0xFFFFFFFF</t>
    <phoneticPr fontId="3" type="noConversion"/>
  </si>
  <si>
    <t>Bin File CRC32</t>
    <phoneticPr fontId="3" type="noConversion"/>
  </si>
  <si>
    <t>Data Index</t>
    <phoneticPr fontId="3" type="noConversion"/>
  </si>
  <si>
    <t>0 ~ 9</t>
    <phoneticPr fontId="3" type="noConversion"/>
  </si>
  <si>
    <t>요청할 chunk Index</t>
    <phoneticPr fontId="3" type="noConversion"/>
  </si>
  <si>
    <t>2026.04.30</t>
    <phoneticPr fontId="3" type="noConversion"/>
  </si>
  <si>
    <t>김성규</t>
    <phoneticPr fontId="3" type="noConversion"/>
  </si>
  <si>
    <t>ICD 수정</t>
    <phoneticPr fontId="3" type="noConversion"/>
  </si>
  <si>
    <r>
      <t xml:space="preserve">3. </t>
    </r>
    <r>
      <rPr>
        <b/>
        <sz val="11"/>
        <color rgb="FFFFFFFF"/>
        <rFont val="맑은 고딕"/>
        <family val="2"/>
        <charset val="129"/>
      </rPr>
      <t xml:space="preserve">공통 </t>
    </r>
    <r>
      <rPr>
        <b/>
        <sz val="11"/>
        <color rgb="FFFFFFFF"/>
        <rFont val="Calibri"/>
        <family val="2"/>
      </rPr>
      <t xml:space="preserve">Payload </t>
    </r>
    <r>
      <rPr>
        <b/>
        <sz val="11"/>
        <color rgb="FFFFFFFF"/>
        <rFont val="맑은 고딕"/>
        <family val="2"/>
        <charset val="129"/>
      </rPr>
      <t>규칙</t>
    </r>
  </si>
  <si>
    <t>적용 범위</t>
  </si>
  <si>
    <r>
      <rPr>
        <sz val="11"/>
        <color rgb="FF1F1F1F"/>
        <rFont val="맑은 고딕"/>
        <family val="2"/>
        <charset val="129"/>
      </rPr>
      <t>모든</t>
    </r>
    <r>
      <rPr>
        <sz val="11"/>
        <color rgb="FF1F1F1F"/>
        <rFont val="Calibri"/>
        <family val="2"/>
      </rPr>
      <t xml:space="preserve"> CMD</t>
    </r>
    <r>
      <rPr>
        <sz val="11"/>
        <color rgb="FF1F1F1F"/>
        <rFont val="맑은 고딕"/>
        <family val="2"/>
        <charset val="129"/>
      </rPr>
      <t>의</t>
    </r>
    <r>
      <rPr>
        <sz val="11"/>
        <color rgb="FF1F1F1F"/>
        <rFont val="Calibri"/>
        <family val="2"/>
      </rPr>
      <t xml:space="preserve"> payload </t>
    </r>
    <r>
      <rPr>
        <sz val="11"/>
        <color rgb="FF1F1F1F"/>
        <rFont val="맑은 고딕"/>
        <family val="2"/>
        <charset val="129"/>
      </rPr>
      <t>필드</t>
    </r>
  </si>
  <si>
    <t>엔디언</t>
  </si>
  <si>
    <r>
      <rPr>
        <sz val="11"/>
        <color rgb="FF1F1F1F"/>
        <rFont val="맑은 고딕"/>
        <family val="2"/>
        <charset val="129"/>
      </rPr>
      <t>모든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멀티바이트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필드는</t>
    </r>
    <r>
      <rPr>
        <sz val="11"/>
        <color rgb="FF1F1F1F"/>
        <rFont val="Calibri"/>
        <family val="2"/>
      </rPr>
      <t xml:space="preserve"> Big-endian(MSB first)</t>
    </r>
    <r>
      <rPr>
        <sz val="11"/>
        <color rgb="FF1F1F1F"/>
        <rFont val="맑은 고딕"/>
        <family val="2"/>
        <charset val="129"/>
      </rPr>
      <t>으로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전송</t>
    </r>
  </si>
  <si>
    <t>고정 길이 필드</t>
  </si>
  <si>
    <r>
      <rPr>
        <sz val="11"/>
        <color rgb="FF1F1F1F"/>
        <rFont val="맑은 고딕"/>
        <family val="2"/>
        <charset val="129"/>
      </rPr>
      <t>고정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길이로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정의된</t>
    </r>
    <r>
      <rPr>
        <sz val="11"/>
        <color rgb="FF1F1F1F"/>
        <rFont val="Calibri"/>
        <family val="2"/>
      </rPr>
      <t xml:space="preserve"> payload </t>
    </r>
    <r>
      <rPr>
        <sz val="11"/>
        <color rgb="FF1F1F1F"/>
        <rFont val="맑은 고딕"/>
        <family val="2"/>
        <charset val="129"/>
      </rPr>
      <t>필드는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항상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지정된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길이로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전송</t>
    </r>
  </si>
  <si>
    <t>패딩 규칙</t>
  </si>
  <si>
    <r>
      <rPr>
        <sz val="11"/>
        <color rgb="FF1F1F1F"/>
        <rFont val="Calibri"/>
        <family val="2"/>
      </rPr>
      <t>payload</t>
    </r>
    <r>
      <rPr>
        <sz val="11"/>
        <color rgb="FF1F1F1F"/>
        <rFont val="맑은 고딕"/>
        <family val="2"/>
        <charset val="129"/>
      </rPr>
      <t>의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남는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영역은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패딩하지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않음</t>
    </r>
  </si>
  <si>
    <r>
      <t xml:space="preserve">CRC </t>
    </r>
    <r>
      <rPr>
        <sz val="11"/>
        <color rgb="FF1F1F1F"/>
        <rFont val="맑은 고딕"/>
        <family val="2"/>
        <charset val="129"/>
      </rPr>
      <t>계산 범위</t>
    </r>
  </si>
  <si>
    <r>
      <t>Cmd</t>
    </r>
    <r>
      <rPr>
        <sz val="11"/>
        <color rgb="FF1F1F1F"/>
        <rFont val="맑은 고딕"/>
        <family val="2"/>
        <charset val="129"/>
      </rPr>
      <t>부터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마지막</t>
    </r>
    <r>
      <rPr>
        <sz val="11"/>
        <color rgb="FF1F1F1F"/>
        <rFont val="Calibri"/>
        <family val="2"/>
      </rPr>
      <t xml:space="preserve"> payload </t>
    </r>
    <r>
      <rPr>
        <sz val="11"/>
        <color rgb="FF1F1F1F"/>
        <rFont val="맑은 고딕"/>
        <family val="2"/>
        <charset val="129"/>
      </rPr>
      <t>바이트까지</t>
    </r>
    <r>
      <rPr>
        <sz val="11"/>
        <color rgb="FF1F1F1F"/>
        <rFont val="Calibri"/>
        <family val="2"/>
      </rPr>
      <t xml:space="preserve"> (CRC </t>
    </r>
    <r>
      <rPr>
        <sz val="11"/>
        <color rgb="FF1F1F1F"/>
        <rFont val="맑은 고딕"/>
        <family val="2"/>
        <charset val="129"/>
      </rPr>
      <t>필드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제외</t>
    </r>
    <r>
      <rPr>
        <sz val="11"/>
        <color rgb="FF1F1F1F"/>
        <rFont val="Calibri"/>
        <family val="2"/>
      </rPr>
      <t>)</t>
    </r>
  </si>
  <si>
    <r>
      <rPr>
        <sz val="11"/>
        <color rgb="FF1F1F1F"/>
        <rFont val="Calibri"/>
        <family val="2"/>
      </rPr>
      <t>CMD 0x45</t>
    </r>
    <r>
      <rPr>
        <sz val="11"/>
        <color rgb="FF1F1F1F"/>
        <rFont val="맑은 고딕"/>
        <family val="2"/>
        <charset val="129"/>
      </rPr>
      <t>의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마지막</t>
    </r>
    <r>
      <rPr>
        <sz val="11"/>
        <color rgb="FF1F1F1F"/>
        <rFont val="Calibri"/>
        <family val="2"/>
      </rPr>
      <t xml:space="preserve"> chunk</t>
    </r>
    <r>
      <rPr>
        <sz val="11"/>
        <color rgb="FF1F1F1F"/>
        <rFont val="맑은 고딕"/>
        <family val="2"/>
        <charset val="129"/>
      </rPr>
      <t>는</t>
    </r>
    <r>
      <rPr>
        <sz val="11"/>
        <color rgb="FF1F1F1F"/>
        <rFont val="Calibri"/>
        <family val="2"/>
      </rPr>
      <t xml:space="preserve"> Last Chunk Size</t>
    </r>
    <r>
      <rPr>
        <sz val="11"/>
        <color rgb="FF1F1F1F"/>
        <rFont val="맑은 고딕"/>
        <family val="2"/>
        <charset val="129"/>
      </rPr>
      <t>만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유효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데이터로</t>
    </r>
    <r>
      <rPr>
        <sz val="11"/>
        <color rgb="FF1F1F1F"/>
        <rFont val="Calibri"/>
        <family val="2"/>
      </rPr>
      <t xml:space="preserve"> </t>
    </r>
    <r>
      <rPr>
        <sz val="11"/>
        <color rgb="FF1F1F1F"/>
        <rFont val="맑은 고딕"/>
        <family val="2"/>
        <charset val="129"/>
      </rPr>
      <t>처리</t>
    </r>
  </si>
  <si>
    <t>uint8[247]</t>
    <phoneticPr fontId="3" type="noConversion"/>
  </si>
  <si>
    <t>Beta boot_count % 10</t>
    <phoneticPr fontId="3" type="noConversion"/>
  </si>
  <si>
    <t>0 ~ (Total Chunk - 1)</t>
    <phoneticPr fontId="3" type="noConversion"/>
  </si>
  <si>
    <t>데이터 번호</t>
    <phoneticPr fontId="3" type="noConversion"/>
  </si>
  <si>
    <t>BIN data</t>
    <phoneticPr fontId="3" type="noConversion"/>
  </si>
  <si>
    <t>CRC32</t>
    <phoneticPr fontId="3" type="noConversion"/>
  </si>
  <si>
    <t>CRC32 (ISO-HDLC), Cmd~payload (excl. CRC), BE</t>
    <phoneticPr fontId="3" type="noConversion"/>
  </si>
  <si>
    <t>2026.05.06</t>
    <phoneticPr fontId="3" type="noConversion"/>
  </si>
  <si>
    <r>
      <t xml:space="preserve">CRC </t>
    </r>
    <r>
      <rPr>
        <sz val="11"/>
        <color rgb="FF000000"/>
        <rFont val="맑은 고딕"/>
        <family val="3"/>
        <charset val="129"/>
      </rPr>
      <t>정책 수정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</si>
</sst>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176" formatCode="yyyy\-mm\-dd"/>
    <numFmt numFmtId="177" formatCode="0&quot;byte&quot;"/>
  </numFmts>
  <fonts count="24" x14ac:knownFonts="1">
    <font>
      <sz val="11"/>
      <color theme="1"/>
      <name val="Aptos Narrow"/>
      <scheme val="minor"/>
    </font>
    <font>
      <b/>
      <sz val="11"/>
      <color rgb="FF1F1F1F"/>
      <name val="Calibri"/>
      <family val="2"/>
    </font>
    <font>
      <sz val="11"/>
      <color rgb="FF1F1F1F"/>
      <name val="Calibri"/>
      <family val="2"/>
    </font>
    <font>
      <sz val="8"/>
      <name val="Aptos Narrow"/>
      <family val="3"/>
      <charset val="129"/>
      <scheme val="minor"/>
    </font>
    <font>
      <b/>
      <sz val="11"/>
      <color rgb="FFFFFFFF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3"/>
      <scheme val="minor"/>
    </font>
    <font>
      <sz val="11"/>
      <color rgb="FF000000"/>
      <name val="맑은 고딕"/>
      <family val="3"/>
    </font>
    <font>
      <sz val="11"/>
      <color rgb="FF000000"/>
      <name val="Aptos Narrow"/>
      <family val="3"/>
      <charset val="129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맑은 고딕"/>
      <family val="3"/>
      <charset val="129"/>
    </font>
    <font>
      <sz val="11"/>
      <color rgb="FF1F1F1F"/>
      <name val="맑은 고딕"/>
      <family val="2"/>
      <charset val="129"/>
    </font>
    <font>
      <sz val="11"/>
      <color rgb="FF1F1F1F"/>
      <name val="맑은 고딕"/>
      <family val="3"/>
      <charset val="129"/>
    </font>
    <font>
      <sz val="11"/>
      <color rgb="FF1F1F1F"/>
      <name val="Calibri"/>
      <family val="3"/>
    </font>
    <font>
      <sz val="11"/>
      <color rgb="FF1F1F1F"/>
      <name val="Calibri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FFFFFF"/>
      <name val="맑은 고딕"/>
      <family val="2"/>
      <charset val="129"/>
    </font>
    <font>
      <b/>
      <sz val="11"/>
      <color rgb="FF1F1F1F"/>
      <name val="맑은 고딕"/>
      <family val="2"/>
      <charset val="129"/>
    </font>
    <font>
      <sz val="11"/>
      <color rgb="FF1F1F1F"/>
      <name val="Calibri"/>
      <family val="2"/>
      <charset val="129"/>
    </font>
    <font>
      <b/>
      <sz val="11"/>
      <color rgb="FF1F1F1F"/>
      <name val="맑은 고딕"/>
      <family val="3"/>
      <charset val="129"/>
    </font>
    <font>
      <b/>
      <sz val="11"/>
      <color rgb="FF1F4E79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i/>
      <sz val="11"/>
      <color theme="1" tint="4.9989318521683403E-2"/>
      <name val="맑은 고딕"/>
      <family val="3"/>
      <charset val="129"/>
    </font>
    <font>
      <sz val="11"/>
      <color rgb="FF666666"/>
      <name val="맑은 고딕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F7F9FC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9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2" tint="-4.9989318521683403E-2"/>
      </left>
      <right style="thin">
        <color theme="2" tint="-4.9989318521683403E-2"/>
      </right>
      <top style="thin">
        <color theme="2" tint="-4.9989318521683403E-2"/>
      </top>
      <bottom style="thin">
        <color theme="2" tint="-4.9989318521683403E-2"/>
      </bottom>
      <diagonal/>
    </border>
    <border>
      <left style="thin">
        <color theme="2" tint="-4.9989318521683403E-2"/>
      </left>
      <right style="thin">
        <color theme="2" tint="-4.9989318521683403E-2"/>
      </right>
      <top style="thin">
        <color theme="2" tint="-4.9989318521683403E-2"/>
      </top>
      <bottom style="thin">
        <color theme="1"/>
      </bottom>
      <diagonal/>
    </border>
    <border>
      <left style="thin">
        <color theme="2" tint="-4.9989318521683403E-2"/>
      </left>
      <right style="thin">
        <color theme="1"/>
      </right>
      <top style="thin">
        <color theme="2" tint="-4.9989318521683403E-2"/>
      </top>
      <bottom style="thin">
        <color theme="1"/>
      </bottom>
      <diagonal/>
    </border>
    <border>
      <left/>
      <right style="thin">
        <color theme="2" tint="-4.9989318521683403E-2"/>
      </right>
      <top style="thin">
        <color theme="2" tint="-4.9989318521683403E-2"/>
      </top>
      <bottom style="thin">
        <color theme="2" tint="-4.9989318521683403E-2"/>
      </bottom>
      <diagonal/>
    </border>
    <border>
      <left style="thin">
        <color theme="2" tint="-4.9989318521683403E-2"/>
      </left>
      <right style="thin">
        <color theme="1"/>
      </right>
      <top style="thin">
        <color theme="2" tint="-4.9989318521683403E-2"/>
      </top>
      <bottom style="thin">
        <color theme="2" tint="-4.9989318521683403E-2"/>
      </bottom>
      <diagonal/>
    </border>
    <border>
      <left/>
      <right style="thin">
        <color theme="2" tint="-4.9989318521683403E-2"/>
      </right>
      <top style="thin">
        <color theme="2" tint="-4.9989318521683403E-2"/>
      </top>
      <bottom style="thin">
        <color theme="1"/>
      </bottom>
      <diagonal/>
    </border>
    <border>
      <left style="thin">
        <color theme="2" tint="-4.9989318521683403E-2"/>
      </left>
      <right style="thin">
        <color theme="2" tint="-4.9989318521683403E-2"/>
      </right>
      <top/>
      <bottom style="thin">
        <color theme="2" tint="-4.9989318521683403E-2"/>
      </bottom>
      <diagonal/>
    </border>
    <border>
      <left/>
      <right style="thin">
        <color theme="2" tint="-4.9989318521683403E-2"/>
      </right>
      <top/>
      <bottom style="thin">
        <color theme="2" tint="-4.9989318521683403E-2"/>
      </bottom>
      <diagonal/>
    </border>
    <border>
      <left style="thin">
        <color theme="2" tint="-4.9989318521683403E-2"/>
      </left>
      <right style="thin">
        <color theme="2" tint="-4.9989318521683403E-2"/>
      </right>
      <top style="thin">
        <color theme="1"/>
      </top>
      <bottom style="thin">
        <color theme="2" tint="-4.9989318521683403E-2"/>
      </bottom>
      <diagonal/>
    </border>
    <border>
      <left style="thin">
        <color theme="2" tint="-4.9989318521683403E-2"/>
      </left>
      <right style="thin">
        <color theme="2" tint="-4.9989318521683403E-2"/>
      </right>
      <top style="thin">
        <color theme="2" tint="-4.9989318521683403E-2"/>
      </top>
      <bottom/>
      <diagonal/>
    </border>
    <border>
      <left/>
      <right style="thin">
        <color theme="2" tint="-4.9989318521683403E-2"/>
      </right>
      <top style="thin">
        <color theme="2" tint="-4.9989318521683403E-2"/>
      </top>
      <bottom/>
      <diagonal/>
    </border>
    <border>
      <left style="thin">
        <color theme="1"/>
      </left>
      <right style="thin">
        <color theme="2" tint="-4.9989318521683403E-2"/>
      </right>
      <top style="thin">
        <color theme="1"/>
      </top>
      <bottom style="thin">
        <color theme="2" tint="-4.9989318521683403E-2"/>
      </bottom>
      <diagonal/>
    </border>
    <border>
      <left style="thin">
        <color theme="2" tint="-4.9989318521683403E-2"/>
      </left>
      <right style="thin">
        <color theme="1"/>
      </right>
      <top style="thin">
        <color theme="1"/>
      </top>
      <bottom style="thin">
        <color theme="2" tint="-4.9989318521683403E-2"/>
      </bottom>
      <diagonal/>
    </border>
    <border>
      <left style="thin">
        <color theme="1"/>
      </left>
      <right style="thin">
        <color theme="2" tint="-4.9989318521683403E-2"/>
      </right>
      <top style="thin">
        <color theme="2" tint="-4.9989318521683403E-2"/>
      </top>
      <bottom style="thin">
        <color theme="2" tint="-4.9989318521683403E-2"/>
      </bottom>
      <diagonal/>
    </border>
    <border>
      <left style="thin">
        <color theme="1"/>
      </left>
      <right style="thin">
        <color theme="2" tint="-4.9989318521683403E-2"/>
      </right>
      <top style="thin">
        <color theme="2" tint="-4.9989318521683403E-2"/>
      </top>
      <bottom style="thin">
        <color theme="1"/>
      </bottom>
      <diagonal/>
    </border>
    <border>
      <left style="thin">
        <color theme="2" tint="-4.9989318521683403E-2"/>
      </left>
      <right style="thin">
        <color theme="1"/>
      </right>
      <top/>
      <bottom style="thin">
        <color theme="2" tint="-4.9989318521683403E-2"/>
      </bottom>
      <diagonal/>
    </border>
    <border>
      <left style="thin">
        <color theme="2" tint="-4.9989318521683403E-2"/>
      </left>
      <right style="thin">
        <color theme="1"/>
      </right>
      <top style="thin">
        <color theme="2" tint="-4.9989318521683403E-2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2" tint="-4.9989318521683403E-2"/>
      </bottom>
      <diagonal/>
    </border>
    <border>
      <left/>
      <right style="thin">
        <color theme="2" tint="-4.9989318521683403E-2"/>
      </right>
      <top style="thin">
        <color theme="1"/>
      </top>
      <bottom style="thin">
        <color theme="2" tint="-4.9989318521683403E-2"/>
      </bottom>
      <diagonal/>
    </border>
    <border>
      <left style="thin">
        <color theme="1"/>
      </left>
      <right style="thin">
        <color theme="1"/>
      </right>
      <top style="thin">
        <color theme="2" tint="-4.9989318521683403E-2"/>
      </top>
      <bottom style="thin">
        <color theme="2" tint="-4.9989318521683403E-2"/>
      </bottom>
      <diagonal/>
    </border>
    <border>
      <left style="thin">
        <color theme="1"/>
      </left>
      <right style="thin">
        <color theme="1"/>
      </right>
      <top style="thin">
        <color theme="2" tint="-4.9989318521683403E-2"/>
      </top>
      <bottom style="thin">
        <color theme="1"/>
      </bottom>
      <diagonal/>
    </border>
    <border>
      <left style="thin">
        <color theme="1"/>
      </left>
      <right style="thin">
        <color theme="2" tint="-4.9989318521683403E-2"/>
      </right>
      <top style="thin">
        <color theme="2" tint="-4.9989318521683403E-2"/>
      </top>
      <bottom/>
      <diagonal/>
    </border>
    <border>
      <left/>
      <right style="thin">
        <color theme="1"/>
      </right>
      <top style="thin">
        <color theme="1"/>
      </top>
      <bottom style="thin">
        <color theme="2" tint="-4.9989318521683403E-2"/>
      </bottom>
      <diagonal/>
    </border>
    <border>
      <left/>
      <right style="thin">
        <color theme="1"/>
      </right>
      <top style="thin">
        <color theme="2" tint="-4.9989318521683403E-2"/>
      </top>
      <bottom style="thin">
        <color theme="2" tint="-4.9989318521683403E-2"/>
      </bottom>
      <diagonal/>
    </border>
    <border>
      <left/>
      <right style="thin">
        <color theme="1"/>
      </right>
      <top style="thin">
        <color theme="2" tint="-4.9989318521683403E-2"/>
      </top>
      <bottom style="thin">
        <color theme="1"/>
      </bottom>
      <diagonal/>
    </border>
    <border>
      <left/>
      <right style="thin">
        <color theme="1"/>
      </right>
      <top/>
      <bottom style="thin">
        <color theme="2" tint="-4.9989318521683403E-2"/>
      </bottom>
      <diagonal/>
    </border>
    <border>
      <left/>
      <right style="thin">
        <color theme="1"/>
      </right>
      <top style="thin">
        <color theme="2" tint="-4.9989318521683403E-2"/>
      </top>
      <bottom/>
      <diagonal/>
    </border>
    <border>
      <left style="thin">
        <color theme="1"/>
      </left>
      <right/>
      <top style="thin">
        <color theme="1"/>
      </top>
      <bottom style="thin">
        <color theme="2" tint="-4.9989318521683403E-2"/>
      </bottom>
      <diagonal/>
    </border>
    <border>
      <left style="thin">
        <color theme="1"/>
      </left>
      <right/>
      <top style="thin">
        <color theme="2" tint="-4.9989318521683403E-2"/>
      </top>
      <bottom style="thin">
        <color theme="2" tint="-4.9989318521683403E-2"/>
      </bottom>
      <diagonal/>
    </border>
    <border>
      <left style="thin">
        <color theme="1"/>
      </left>
      <right/>
      <top style="thin">
        <color theme="2" tint="-4.9989318521683403E-2"/>
      </top>
      <bottom style="thin">
        <color theme="1"/>
      </bottom>
      <diagonal/>
    </border>
    <border>
      <left/>
      <right/>
      <top style="thin">
        <color theme="2" tint="-4.9989318521683403E-2"/>
      </top>
      <bottom style="thin">
        <color theme="2" tint="-4.9989318521683403E-2"/>
      </bottom>
      <diagonal/>
    </border>
    <border>
      <left/>
      <right/>
      <top/>
      <bottom style="thin">
        <color theme="2" tint="-4.9989318521683403E-2"/>
      </bottom>
      <diagonal/>
    </border>
    <border>
      <left/>
      <right/>
      <top style="thin">
        <color theme="2" tint="-4.9989318521683403E-2"/>
      </top>
      <bottom/>
      <diagonal/>
    </border>
    <border>
      <left/>
      <right/>
      <top style="thin">
        <color theme="1"/>
      </top>
      <bottom style="thin">
        <color theme="2" tint="-4.9989318521683403E-2"/>
      </bottom>
      <diagonal/>
    </border>
    <border>
      <left style="thin">
        <color theme="1"/>
      </left>
      <right style="thin">
        <color theme="2" tint="-4.9989318521683403E-2"/>
      </right>
      <top/>
      <bottom style="thin">
        <color theme="2" tint="-4.9989318521683403E-2"/>
      </bottom>
      <diagonal/>
    </border>
    <border>
      <left/>
      <right style="thin">
        <color theme="1"/>
      </right>
      <top/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2" tint="-4.9989318521683403E-2"/>
      </bottom>
      <diagonal/>
    </border>
    <border>
      <left style="thin">
        <color theme="1"/>
      </left>
      <right style="thin">
        <color indexed="64"/>
      </right>
      <top style="thin">
        <color theme="2" tint="-4.9989318521683403E-2"/>
      </top>
      <bottom style="thin">
        <color theme="2" tint="-4.9989318521683403E-2"/>
      </bottom>
      <diagonal/>
    </border>
    <border>
      <left style="thin">
        <color theme="1"/>
      </left>
      <right style="thin">
        <color indexed="64"/>
      </right>
      <top style="thin">
        <color theme="2" tint="-4.9989318521683403E-2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/>
      <bottom style="thin">
        <color theme="2" tint="-4.9989318521683403E-2"/>
      </bottom>
      <diagonal/>
    </border>
    <border>
      <left style="thin">
        <color theme="1"/>
      </left>
      <right style="thin">
        <color indexed="64"/>
      </right>
      <top style="thin">
        <color theme="2" tint="-4.9989318521683403E-2"/>
      </top>
      <bottom/>
      <diagonal/>
    </border>
    <border>
      <left style="thin">
        <color indexed="64"/>
      </left>
      <right style="thin">
        <color theme="2" tint="-4.9989318521683403E-2"/>
      </right>
      <top style="thin">
        <color theme="1"/>
      </top>
      <bottom/>
      <diagonal/>
    </border>
    <border>
      <left style="thin">
        <color theme="2" tint="-4.9989318521683403E-2"/>
      </left>
      <right style="thin">
        <color theme="2" tint="-4.9989318521683403E-2"/>
      </right>
      <top style="thin">
        <color theme="1"/>
      </top>
      <bottom/>
      <diagonal/>
    </border>
    <border>
      <left style="thin">
        <color theme="2" tint="-4.9989318521683403E-2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2" tint="-4.9989318521683403E-2"/>
      </bottom>
      <diagonal/>
    </border>
    <border>
      <left/>
      <right style="thin">
        <color theme="2" tint="-4.9989318521683403E-2"/>
      </right>
      <top/>
      <bottom/>
      <diagonal/>
    </border>
    <border>
      <left style="thin">
        <color theme="2" tint="-4.9989318521683403E-2"/>
      </left>
      <right style="thin">
        <color theme="2" tint="-4.9989318521683403E-2"/>
      </right>
      <top/>
      <bottom/>
      <diagonal/>
    </border>
    <border>
      <left style="thin">
        <color theme="2" tint="-4.9989318521683403E-2"/>
      </left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2" tint="-4.9989318521683403E-2"/>
      </bottom>
      <diagonal/>
    </border>
  </borders>
  <cellStyleXfs count="3">
    <xf numFmtId="0" fontId="0" fillId="0" borderId="0"/>
    <xf numFmtId="0" fontId="5" fillId="0" borderId="0">
      <alignment vertical="center"/>
    </xf>
    <xf numFmtId="42" fontId="5" fillId="0" borderId="0">
      <alignment vertical="center"/>
    </xf>
  </cellStyleXfs>
  <cellXfs count="217">
    <xf numFmtId="0" fontId="0" fillId="0" borderId="0" xfId="0" applyAlignment="1">
      <alignment vertical="center"/>
    </xf>
    <xf numFmtId="0" fontId="4" fillId="7" borderId="1" xfId="1" applyFont="1" applyFill="1" applyBorder="1" applyAlignment="1">
      <alignment horizontal="center" vertical="center" wrapText="1"/>
    </xf>
    <xf numFmtId="0" fontId="6" fillId="0" borderId="0" xfId="1" applyFont="1" applyAlignment="1"/>
    <xf numFmtId="0" fontId="6" fillId="6" borderId="2" xfId="1" applyFont="1" applyFill="1" applyBorder="1" applyAlignment="1">
      <alignment horizontal="center"/>
    </xf>
    <xf numFmtId="0" fontId="6" fillId="6" borderId="3" xfId="1" applyFont="1" applyFill="1" applyBorder="1" applyAlignment="1">
      <alignment horizontal="center"/>
    </xf>
    <xf numFmtId="0" fontId="6" fillId="6" borderId="4" xfId="1" applyFont="1" applyFill="1" applyBorder="1" applyAlignment="1">
      <alignment horizontal="center"/>
    </xf>
    <xf numFmtId="0" fontId="5" fillId="0" borderId="0" xfId="1">
      <alignment vertical="center"/>
    </xf>
    <xf numFmtId="0" fontId="1" fillId="8" borderId="1" xfId="1" applyFont="1" applyFill="1" applyBorder="1" applyAlignment="1">
      <alignment horizontal="left" vertical="center" wrapText="1"/>
    </xf>
    <xf numFmtId="0" fontId="2" fillId="8" borderId="1" xfId="1" applyFont="1" applyFill="1" applyBorder="1" applyAlignment="1">
      <alignment horizontal="left" vertical="center" wrapText="1"/>
    </xf>
    <xf numFmtId="0" fontId="6" fillId="0" borderId="5" xfId="1" applyFont="1" applyBorder="1" applyAlignment="1">
      <alignment horizontal="center"/>
    </xf>
    <xf numFmtId="14" fontId="6" fillId="0" borderId="0" xfId="1" applyNumberFormat="1" applyFont="1" applyAlignment="1">
      <alignment horizontal="center"/>
    </xf>
    <xf numFmtId="0" fontId="6" fillId="0" borderId="0" xfId="1" applyFont="1" applyAlignment="1">
      <alignment horizontal="center"/>
    </xf>
    <xf numFmtId="0" fontId="6" fillId="0" borderId="6" xfId="1" applyFont="1" applyBorder="1" applyAlignment="1">
      <alignment horizontal="center"/>
    </xf>
    <xf numFmtId="176" fontId="2" fillId="8" borderId="1" xfId="1" applyNumberFormat="1" applyFont="1" applyFill="1" applyBorder="1" applyAlignment="1">
      <alignment horizontal="left" vertical="center" wrapText="1"/>
    </xf>
    <xf numFmtId="0" fontId="7" fillId="0" borderId="0" xfId="1" applyFont="1" applyAlignment="1">
      <alignment horizontal="center"/>
    </xf>
    <xf numFmtId="0" fontId="6" fillId="0" borderId="7" xfId="1" applyFont="1" applyBorder="1" applyAlignment="1">
      <alignment horizontal="center"/>
    </xf>
    <xf numFmtId="0" fontId="6" fillId="0" borderId="8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5" fillId="0" borderId="0" xfId="1" applyAlignment="1"/>
    <xf numFmtId="0" fontId="8" fillId="0" borderId="0" xfId="1" applyFont="1" applyAlignment="1">
      <alignment horizontal="center"/>
    </xf>
    <xf numFmtId="0" fontId="10" fillId="0" borderId="0" xfId="1" applyFont="1" applyAlignment="1">
      <alignment horizontal="center"/>
    </xf>
    <xf numFmtId="0" fontId="14" fillId="8" borderId="1" xfId="1" applyFont="1" applyFill="1" applyBorder="1" applyAlignment="1">
      <alignment horizontal="left" vertical="center" wrapText="1"/>
    </xf>
    <xf numFmtId="0" fontId="1" fillId="9" borderId="1" xfId="1" applyFont="1" applyFill="1" applyBorder="1" applyAlignment="1">
      <alignment horizontal="center" vertical="center" wrapText="1"/>
    </xf>
    <xf numFmtId="0" fontId="2" fillId="8" borderId="1" xfId="1" applyFont="1" applyFill="1" applyBorder="1" applyAlignment="1">
      <alignment horizontal="center" vertical="center" wrapText="1"/>
    </xf>
    <xf numFmtId="0" fontId="2" fillId="10" borderId="1" xfId="1" applyFont="1" applyFill="1" applyBorder="1" applyAlignment="1">
      <alignment horizontal="center" vertical="center" wrapText="1"/>
    </xf>
    <xf numFmtId="0" fontId="2" fillId="10" borderId="1" xfId="1" applyFont="1" applyFill="1" applyBorder="1" applyAlignment="1">
      <alignment horizontal="center" vertical="top" wrapText="1"/>
    </xf>
    <xf numFmtId="0" fontId="2" fillId="8" borderId="1" xfId="1" applyFont="1" applyFill="1" applyBorder="1" applyAlignment="1">
      <alignment horizontal="center" vertical="top" wrapText="1"/>
    </xf>
    <xf numFmtId="0" fontId="2" fillId="8" borderId="1" xfId="1" applyFont="1" applyFill="1" applyBorder="1" applyAlignment="1">
      <alignment horizontal="left" vertical="top" wrapText="1"/>
    </xf>
    <xf numFmtId="0" fontId="1" fillId="9" borderId="1" xfId="1" applyFont="1" applyFill="1" applyBorder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2" fillId="8" borderId="1" xfId="1" applyFont="1" applyFill="1" applyBorder="1" applyAlignment="1">
      <alignment horizontal="center" vertical="center"/>
    </xf>
    <xf numFmtId="0" fontId="1" fillId="9" borderId="1" xfId="1" applyFont="1" applyFill="1" applyBorder="1" applyAlignment="1">
      <alignment horizontal="left" vertical="center"/>
    </xf>
    <xf numFmtId="0" fontId="2" fillId="8" borderId="1" xfId="1" applyFont="1" applyFill="1" applyBorder="1" applyAlignment="1">
      <alignment horizontal="left" vertical="center"/>
    </xf>
    <xf numFmtId="0" fontId="6" fillId="0" borderId="15" xfId="1" applyFont="1" applyBorder="1" applyAlignment="1"/>
    <xf numFmtId="0" fontId="6" fillId="0" borderId="16" xfId="1" applyFont="1" applyBorder="1" applyAlignment="1"/>
    <xf numFmtId="0" fontId="6" fillId="0" borderId="17" xfId="1" applyFont="1" applyBorder="1" applyAlignment="1"/>
    <xf numFmtId="0" fontId="6" fillId="0" borderId="6" xfId="1" applyFont="1" applyBorder="1" applyAlignment="1"/>
    <xf numFmtId="0" fontId="6" fillId="0" borderId="18" xfId="1" applyFont="1" applyBorder="1" applyAlignment="1"/>
    <xf numFmtId="0" fontId="6" fillId="0" borderId="9" xfId="1" applyFont="1" applyBorder="1" applyAlignment="1"/>
    <xf numFmtId="0" fontId="0" fillId="0" borderId="54" xfId="0" applyBorder="1" applyAlignment="1">
      <alignment vertical="center"/>
    </xf>
    <xf numFmtId="0" fontId="0" fillId="0" borderId="55" xfId="0" applyBorder="1" applyAlignment="1">
      <alignment vertical="center"/>
    </xf>
    <xf numFmtId="0" fontId="11" fillId="10" borderId="1" xfId="1" applyFont="1" applyFill="1" applyBorder="1" applyAlignment="1">
      <alignment horizontal="left" vertical="top" wrapText="1"/>
    </xf>
    <xf numFmtId="0" fontId="12" fillId="5" borderId="25" xfId="0" applyFont="1" applyFill="1" applyBorder="1" applyAlignment="1">
      <alignment horizontal="left" vertical="center" wrapText="1"/>
    </xf>
    <xf numFmtId="0" fontId="19" fillId="3" borderId="21" xfId="0" applyFont="1" applyFill="1" applyBorder="1" applyAlignment="1">
      <alignment horizontal="center" vertical="center" wrapText="1"/>
    </xf>
    <xf numFmtId="0" fontId="19" fillId="3" borderId="58" xfId="0" applyFont="1" applyFill="1" applyBorder="1" applyAlignment="1">
      <alignment horizontal="center" vertical="center" wrapText="1"/>
    </xf>
    <xf numFmtId="0" fontId="19" fillId="3" borderId="29" xfId="0" applyFont="1" applyFill="1" applyBorder="1" applyAlignment="1">
      <alignment horizontal="center" vertical="center" wrapText="1"/>
    </xf>
    <xf numFmtId="0" fontId="19" fillId="3" borderId="28" xfId="0" applyFont="1" applyFill="1" applyBorder="1" applyAlignment="1">
      <alignment horizontal="center" vertical="center" wrapText="1"/>
    </xf>
    <xf numFmtId="0" fontId="19" fillId="3" borderId="35" xfId="0" applyFont="1" applyFill="1" applyBorder="1" applyAlignment="1">
      <alignment horizontal="center" vertical="center" wrapText="1"/>
    </xf>
    <xf numFmtId="0" fontId="12" fillId="4" borderId="37" xfId="0" applyFont="1" applyFill="1" applyBorder="1" applyAlignment="1">
      <alignment horizontal="left" vertical="center" wrapText="1"/>
    </xf>
    <xf numFmtId="0" fontId="12" fillId="4" borderId="27" xfId="0" applyFont="1" applyFill="1" applyBorder="1" applyAlignment="1">
      <alignment horizontal="center" vertical="center" wrapText="1"/>
    </xf>
    <xf numFmtId="177" fontId="12" fillId="4" borderId="27" xfId="0" applyNumberFormat="1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left" vertical="center" wrapText="1"/>
    </xf>
    <xf numFmtId="0" fontId="12" fillId="4" borderId="31" xfId="0" applyFont="1" applyFill="1" applyBorder="1" applyAlignment="1">
      <alignment horizontal="center" vertical="center" wrapText="1"/>
    </xf>
    <xf numFmtId="177" fontId="12" fillId="4" borderId="19" xfId="0" applyNumberFormat="1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left" vertical="top" wrapText="1"/>
    </xf>
    <xf numFmtId="0" fontId="12" fillId="4" borderId="31" xfId="0" applyFont="1" applyFill="1" applyBorder="1" applyAlignment="1">
      <alignment horizontal="center" vertical="top" wrapText="1"/>
    </xf>
    <xf numFmtId="0" fontId="12" fillId="4" borderId="22" xfId="0" applyFont="1" applyFill="1" applyBorder="1" applyAlignment="1">
      <alignment horizontal="left" vertical="center" wrapText="1"/>
    </xf>
    <xf numFmtId="0" fontId="12" fillId="4" borderId="19" xfId="0" applyFont="1" applyFill="1" applyBorder="1" applyAlignment="1">
      <alignment horizontal="center" vertical="center" wrapText="1"/>
    </xf>
    <xf numFmtId="0" fontId="12" fillId="4" borderId="19" xfId="0" applyFont="1" applyFill="1" applyBorder="1" applyAlignment="1">
      <alignment horizontal="left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19" xfId="0" applyFont="1" applyFill="1" applyBorder="1" applyAlignment="1">
      <alignment horizontal="left" vertical="top" wrapText="1"/>
    </xf>
    <xf numFmtId="0" fontId="12" fillId="4" borderId="23" xfId="0" applyFont="1" applyFill="1" applyBorder="1" applyAlignment="1">
      <alignment horizontal="center" vertical="top" wrapText="1"/>
    </xf>
    <xf numFmtId="0" fontId="12" fillId="0" borderId="22" xfId="0" applyFont="1" applyBorder="1" applyAlignment="1">
      <alignment horizontal="left" vertical="center" wrapText="1"/>
    </xf>
    <xf numFmtId="0" fontId="12" fillId="0" borderId="19" xfId="0" applyFont="1" applyBorder="1" applyAlignment="1">
      <alignment horizontal="center" vertical="center" wrapText="1"/>
    </xf>
    <xf numFmtId="177" fontId="12" fillId="0" borderId="19" xfId="0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horizontal="left" vertical="top" wrapText="1"/>
    </xf>
    <xf numFmtId="0" fontId="12" fillId="0" borderId="23" xfId="0" applyFont="1" applyBorder="1" applyAlignment="1">
      <alignment horizontal="center" vertical="top" wrapText="1"/>
    </xf>
    <xf numFmtId="0" fontId="12" fillId="4" borderId="24" xfId="0" applyFont="1" applyFill="1" applyBorder="1" applyAlignment="1">
      <alignment horizontal="left" vertical="center" wrapText="1"/>
    </xf>
    <xf numFmtId="0" fontId="12" fillId="4" borderId="20" xfId="0" applyFont="1" applyFill="1" applyBorder="1" applyAlignment="1">
      <alignment horizontal="center" vertical="center" wrapText="1"/>
    </xf>
    <xf numFmtId="177" fontId="12" fillId="4" borderId="20" xfId="0" applyNumberFormat="1" applyFont="1" applyFill="1" applyBorder="1" applyAlignment="1">
      <alignment horizontal="center" vertical="center" wrapText="1"/>
    </xf>
    <xf numFmtId="0" fontId="19" fillId="4" borderId="20" xfId="0" applyFont="1" applyFill="1" applyBorder="1" applyAlignment="1">
      <alignment horizontal="center" vertical="center" wrapText="1"/>
    </xf>
    <xf numFmtId="177" fontId="22" fillId="8" borderId="20" xfId="0" applyNumberFormat="1" applyFont="1" applyFill="1" applyBorder="1" applyAlignment="1">
      <alignment horizontal="center" vertical="center" wrapText="1"/>
    </xf>
    <xf numFmtId="0" fontId="23" fillId="4" borderId="21" xfId="0" applyFont="1" applyFill="1" applyBorder="1" applyAlignment="1">
      <alignment horizontal="center" vertical="center" wrapText="1"/>
    </xf>
    <xf numFmtId="0" fontId="19" fillId="4" borderId="20" xfId="0" applyFont="1" applyFill="1" applyBorder="1" applyAlignment="1">
      <alignment horizontal="center" vertical="top" wrapText="1"/>
    </xf>
    <xf numFmtId="0" fontId="12" fillId="4" borderId="21" xfId="0" applyFont="1" applyFill="1" applyBorder="1" applyAlignment="1">
      <alignment horizontal="center" vertical="top" wrapText="1"/>
    </xf>
    <xf numFmtId="0" fontId="12" fillId="5" borderId="26" xfId="0" applyFont="1" applyFill="1" applyBorder="1" applyAlignment="1">
      <alignment horizontal="left" vertical="center" wrapText="1"/>
    </xf>
    <xf numFmtId="0" fontId="12" fillId="5" borderId="25" xfId="0" applyFont="1" applyFill="1" applyBorder="1" applyAlignment="1">
      <alignment horizontal="center" vertical="center" wrapText="1"/>
    </xf>
    <xf numFmtId="177" fontId="12" fillId="5" borderId="25" xfId="0" applyNumberFormat="1" applyFont="1" applyFill="1" applyBorder="1" applyAlignment="1">
      <alignment horizontal="center" vertical="center" wrapText="1"/>
    </xf>
    <xf numFmtId="0" fontId="12" fillId="5" borderId="34" xfId="0" applyFont="1" applyFill="1" applyBorder="1" applyAlignment="1">
      <alignment horizontal="center" vertical="center" wrapText="1"/>
    </xf>
    <xf numFmtId="0" fontId="12" fillId="5" borderId="25" xfId="0" applyFont="1" applyFill="1" applyBorder="1" applyAlignment="1">
      <alignment horizontal="left" vertical="top" wrapText="1"/>
    </xf>
    <xf numFmtId="0" fontId="12" fillId="5" borderId="34" xfId="0" applyFont="1" applyFill="1" applyBorder="1" applyAlignment="1">
      <alignment horizontal="center" vertical="top" wrapText="1"/>
    </xf>
    <xf numFmtId="0" fontId="12" fillId="5" borderId="22" xfId="0" applyFont="1" applyFill="1" applyBorder="1" applyAlignment="1">
      <alignment horizontal="left" vertical="center" wrapText="1"/>
    </xf>
    <xf numFmtId="0" fontId="12" fillId="5" borderId="19" xfId="0" applyFont="1" applyFill="1" applyBorder="1" applyAlignment="1">
      <alignment horizontal="center" vertical="center" wrapText="1"/>
    </xf>
    <xf numFmtId="177" fontId="12" fillId="5" borderId="19" xfId="0" applyNumberFormat="1" applyFont="1" applyFill="1" applyBorder="1" applyAlignment="1">
      <alignment horizontal="center" vertical="center" wrapText="1"/>
    </xf>
    <xf numFmtId="0" fontId="12" fillId="5" borderId="19" xfId="0" applyFont="1" applyFill="1" applyBorder="1" applyAlignment="1">
      <alignment horizontal="left" vertical="center" wrapText="1"/>
    </xf>
    <xf numFmtId="0" fontId="12" fillId="5" borderId="23" xfId="0" applyFont="1" applyFill="1" applyBorder="1" applyAlignment="1">
      <alignment horizontal="center" vertical="center" wrapText="1"/>
    </xf>
    <xf numFmtId="0" fontId="12" fillId="5" borderId="19" xfId="0" applyFont="1" applyFill="1" applyBorder="1" applyAlignment="1">
      <alignment horizontal="left" vertical="top" wrapText="1"/>
    </xf>
    <xf numFmtId="0" fontId="12" fillId="5" borderId="23" xfId="0" applyFont="1" applyFill="1" applyBorder="1" applyAlignment="1">
      <alignment horizontal="center" vertical="top" wrapText="1"/>
    </xf>
    <xf numFmtId="0" fontId="12" fillId="5" borderId="29" xfId="0" applyFont="1" applyFill="1" applyBorder="1" applyAlignment="1">
      <alignment horizontal="left" vertical="center" wrapText="1"/>
    </xf>
    <xf numFmtId="0" fontId="12" fillId="5" borderId="28" xfId="0" applyFont="1" applyFill="1" applyBorder="1" applyAlignment="1">
      <alignment horizontal="center" vertical="center" wrapText="1"/>
    </xf>
    <xf numFmtId="177" fontId="12" fillId="5" borderId="28" xfId="0" applyNumberFormat="1" applyFont="1" applyFill="1" applyBorder="1" applyAlignment="1">
      <alignment horizontal="center" vertical="center" wrapText="1"/>
    </xf>
    <xf numFmtId="0" fontId="19" fillId="5" borderId="28" xfId="0" applyFont="1" applyFill="1" applyBorder="1" applyAlignment="1">
      <alignment horizontal="center" vertical="center" wrapText="1"/>
    </xf>
    <xf numFmtId="177" fontId="22" fillId="5" borderId="28" xfId="0" applyNumberFormat="1" applyFont="1" applyFill="1" applyBorder="1" applyAlignment="1">
      <alignment horizontal="center" vertical="center" wrapText="1"/>
    </xf>
    <xf numFmtId="0" fontId="23" fillId="5" borderId="35" xfId="0" applyFont="1" applyFill="1" applyBorder="1" applyAlignment="1">
      <alignment horizontal="center" vertical="center" wrapText="1"/>
    </xf>
    <xf numFmtId="0" fontId="19" fillId="5" borderId="28" xfId="0" applyFont="1" applyFill="1" applyBorder="1" applyAlignment="1">
      <alignment horizontal="center" vertical="top" wrapText="1"/>
    </xf>
    <xf numFmtId="0" fontId="12" fillId="5" borderId="35" xfId="0" applyFont="1" applyFill="1" applyBorder="1" applyAlignment="1">
      <alignment horizontal="center" vertical="top" wrapText="1"/>
    </xf>
    <xf numFmtId="0" fontId="12" fillId="4" borderId="61" xfId="0" applyFont="1" applyFill="1" applyBorder="1" applyAlignment="1">
      <alignment horizontal="left" vertical="center" wrapText="1"/>
    </xf>
    <xf numFmtId="0" fontId="12" fillId="4" borderId="62" xfId="0" applyFont="1" applyFill="1" applyBorder="1" applyAlignment="1">
      <alignment horizontal="center" vertical="center" wrapText="1"/>
    </xf>
    <xf numFmtId="177" fontId="12" fillId="4" borderId="62" xfId="0" applyNumberFormat="1" applyFont="1" applyFill="1" applyBorder="1" applyAlignment="1">
      <alignment horizontal="center" vertical="center" wrapText="1"/>
    </xf>
    <xf numFmtId="0" fontId="12" fillId="4" borderId="62" xfId="0" applyFont="1" applyFill="1" applyBorder="1" applyAlignment="1">
      <alignment horizontal="left" vertical="center" wrapText="1"/>
    </xf>
    <xf numFmtId="0" fontId="12" fillId="4" borderId="63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left" vertical="center" wrapText="1"/>
    </xf>
    <xf numFmtId="0" fontId="12" fillId="4" borderId="25" xfId="0" applyFont="1" applyFill="1" applyBorder="1" applyAlignment="1">
      <alignment horizontal="center" vertical="center" wrapText="1"/>
    </xf>
    <xf numFmtId="177" fontId="12" fillId="4" borderId="25" xfId="0" applyNumberFormat="1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left" vertical="center" wrapText="1"/>
    </xf>
    <xf numFmtId="0" fontId="12" fillId="4" borderId="34" xfId="0" applyFont="1" applyFill="1" applyBorder="1" applyAlignment="1">
      <alignment horizontal="center" vertical="center" wrapText="1"/>
    </xf>
    <xf numFmtId="0" fontId="12" fillId="5" borderId="53" xfId="0" applyFont="1" applyFill="1" applyBorder="1" applyAlignment="1">
      <alignment horizontal="left" vertical="center" wrapText="1"/>
    </xf>
    <xf numFmtId="0" fontId="12" fillId="5" borderId="32" xfId="0" applyFont="1" applyFill="1" applyBorder="1" applyAlignment="1">
      <alignment horizontal="left" vertical="center" wrapText="1"/>
    </xf>
    <xf numFmtId="0" fontId="12" fillId="5" borderId="40" xfId="0" applyFont="1" applyFill="1" applyBorder="1" applyAlignment="1">
      <alignment horizontal="left" vertical="center" wrapText="1"/>
    </xf>
    <xf numFmtId="0" fontId="12" fillId="4" borderId="30" xfId="0" applyFont="1" applyFill="1" applyBorder="1" applyAlignment="1">
      <alignment horizontal="left" vertical="center" wrapText="1"/>
    </xf>
    <xf numFmtId="0" fontId="12" fillId="4" borderId="32" xfId="0" applyFont="1" applyFill="1" applyBorder="1" applyAlignment="1">
      <alignment horizontal="left" vertical="center" wrapText="1"/>
    </xf>
    <xf numFmtId="0" fontId="12" fillId="4" borderId="40" xfId="0" applyFont="1" applyFill="1" applyBorder="1" applyAlignment="1">
      <alignment horizontal="left" vertical="center" wrapText="1"/>
    </xf>
    <xf numFmtId="0" fontId="12" fillId="4" borderId="28" xfId="0" applyFont="1" applyFill="1" applyBorder="1" applyAlignment="1">
      <alignment horizontal="center" vertical="center" wrapText="1"/>
    </xf>
    <xf numFmtId="177" fontId="12" fillId="4" borderId="28" xfId="0" applyNumberFormat="1" applyFont="1" applyFill="1" applyBorder="1" applyAlignment="1">
      <alignment horizontal="center" vertical="center" wrapText="1"/>
    </xf>
    <xf numFmtId="0" fontId="19" fillId="4" borderId="28" xfId="0" applyFont="1" applyFill="1" applyBorder="1" applyAlignment="1">
      <alignment horizontal="center" vertical="center" wrapText="1"/>
    </xf>
    <xf numFmtId="177" fontId="22" fillId="8" borderId="28" xfId="0" applyNumberFormat="1" applyFont="1" applyFill="1" applyBorder="1" applyAlignment="1">
      <alignment horizontal="center" vertical="center" wrapText="1"/>
    </xf>
    <xf numFmtId="0" fontId="23" fillId="4" borderId="35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left" vertical="center" wrapText="1"/>
    </xf>
    <xf numFmtId="0" fontId="19" fillId="4" borderId="28" xfId="0" applyFont="1" applyFill="1" applyBorder="1" applyAlignment="1">
      <alignment horizontal="center" vertical="top" wrapText="1"/>
    </xf>
    <xf numFmtId="0" fontId="12" fillId="4" borderId="35" xfId="0" applyFont="1" applyFill="1" applyBorder="1" applyAlignment="1">
      <alignment horizontal="center" vertical="top" wrapText="1"/>
    </xf>
    <xf numFmtId="0" fontId="12" fillId="5" borderId="30" xfId="0" applyFont="1" applyFill="1" applyBorder="1" applyAlignment="1">
      <alignment horizontal="left" vertical="center" wrapText="1"/>
    </xf>
    <xf numFmtId="0" fontId="12" fillId="5" borderId="27" xfId="0" applyFont="1" applyFill="1" applyBorder="1" applyAlignment="1">
      <alignment horizontal="center" vertical="center" wrapText="1"/>
    </xf>
    <xf numFmtId="177" fontId="12" fillId="5" borderId="27" xfId="0" applyNumberFormat="1" applyFont="1" applyFill="1" applyBorder="1" applyAlignment="1">
      <alignment horizontal="center" vertical="center" wrapText="1"/>
    </xf>
    <xf numFmtId="0" fontId="12" fillId="5" borderId="27" xfId="0" applyFont="1" applyFill="1" applyBorder="1" applyAlignment="1">
      <alignment horizontal="left" vertical="center" wrapText="1"/>
    </xf>
    <xf numFmtId="0" fontId="12" fillId="5" borderId="31" xfId="0" applyFont="1" applyFill="1" applyBorder="1" applyAlignment="1">
      <alignment horizontal="center" vertical="center" wrapText="1"/>
    </xf>
    <xf numFmtId="0" fontId="12" fillId="5" borderId="37" xfId="0" applyFont="1" applyFill="1" applyBorder="1" applyAlignment="1">
      <alignment horizontal="left" vertical="center" wrapText="1"/>
    </xf>
    <xf numFmtId="0" fontId="12" fillId="5" borderId="27" xfId="0" applyFont="1" applyFill="1" applyBorder="1" applyAlignment="1">
      <alignment horizontal="left" vertical="top" wrapText="1"/>
    </xf>
    <xf numFmtId="0" fontId="12" fillId="5" borderId="31" xfId="0" applyFont="1" applyFill="1" applyBorder="1" applyAlignment="1">
      <alignment horizontal="center" vertical="top" wrapText="1"/>
    </xf>
    <xf numFmtId="0" fontId="12" fillId="5" borderId="33" xfId="0" applyFont="1" applyFill="1" applyBorder="1" applyAlignment="1">
      <alignment horizontal="left" vertical="center" wrapText="1"/>
    </xf>
    <xf numFmtId="0" fontId="12" fillId="5" borderId="20" xfId="0" applyFont="1" applyFill="1" applyBorder="1" applyAlignment="1">
      <alignment horizontal="center" vertical="center" wrapText="1"/>
    </xf>
    <xf numFmtId="177" fontId="12" fillId="5" borderId="20" xfId="0" applyNumberFormat="1" applyFont="1" applyFill="1" applyBorder="1" applyAlignment="1">
      <alignment horizontal="center" vertical="center" wrapText="1"/>
    </xf>
    <xf numFmtId="0" fontId="19" fillId="5" borderId="20" xfId="0" applyFont="1" applyFill="1" applyBorder="1" applyAlignment="1">
      <alignment horizontal="center" vertical="center" wrapText="1"/>
    </xf>
    <xf numFmtId="177" fontId="22" fillId="5" borderId="20" xfId="0" applyNumberFormat="1" applyFont="1" applyFill="1" applyBorder="1" applyAlignment="1">
      <alignment horizontal="center" vertical="center" wrapText="1"/>
    </xf>
    <xf numFmtId="0" fontId="23" fillId="5" borderId="21" xfId="0" applyFont="1" applyFill="1" applyBorder="1" applyAlignment="1">
      <alignment horizontal="center" vertical="center" wrapText="1"/>
    </xf>
    <xf numFmtId="0" fontId="12" fillId="5" borderId="24" xfId="0" applyFont="1" applyFill="1" applyBorder="1" applyAlignment="1">
      <alignment horizontal="left" vertical="center" wrapText="1"/>
    </xf>
    <xf numFmtId="0" fontId="19" fillId="5" borderId="20" xfId="0" applyFont="1" applyFill="1" applyBorder="1" applyAlignment="1">
      <alignment horizontal="center" vertical="top" wrapText="1"/>
    </xf>
    <xf numFmtId="0" fontId="12" fillId="5" borderId="21" xfId="0" applyFont="1" applyFill="1" applyBorder="1" applyAlignment="1">
      <alignment horizontal="center" vertical="top" wrapText="1"/>
    </xf>
    <xf numFmtId="0" fontId="12" fillId="4" borderId="65" xfId="0" applyFont="1" applyFill="1" applyBorder="1" applyAlignment="1">
      <alignment horizontal="left" vertical="center" wrapText="1"/>
    </xf>
    <xf numFmtId="0" fontId="12" fillId="4" borderId="66" xfId="0" applyFont="1" applyFill="1" applyBorder="1" applyAlignment="1">
      <alignment horizontal="center" vertical="center" wrapText="1"/>
    </xf>
    <xf numFmtId="177" fontId="12" fillId="4" borderId="66" xfId="0" applyNumberFormat="1" applyFont="1" applyFill="1" applyBorder="1" applyAlignment="1">
      <alignment horizontal="center" vertical="center" wrapText="1"/>
    </xf>
    <xf numFmtId="0" fontId="12" fillId="4" borderId="66" xfId="0" applyFont="1" applyFill="1" applyBorder="1" applyAlignment="1">
      <alignment horizontal="left" vertical="center" wrapText="1"/>
    </xf>
    <xf numFmtId="0" fontId="12" fillId="4" borderId="67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left" vertical="top" wrapText="1"/>
    </xf>
    <xf numFmtId="0" fontId="12" fillId="4" borderId="34" xfId="0" applyFont="1" applyFill="1" applyBorder="1" applyAlignment="1">
      <alignment horizontal="center" vertical="top" wrapText="1"/>
    </xf>
    <xf numFmtId="0" fontId="17" fillId="9" borderId="1" xfId="1" applyFont="1" applyFill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5" borderId="1" xfId="1" applyFont="1" applyFill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5" borderId="1" xfId="1" applyFont="1" applyFill="1" applyBorder="1" applyAlignment="1">
      <alignment horizontal="center" vertical="center" wrapText="1"/>
    </xf>
    <xf numFmtId="0" fontId="2" fillId="11" borderId="1" xfId="1" applyFont="1" applyFill="1" applyBorder="1" applyAlignment="1">
      <alignment horizontal="center" vertical="center" wrapText="1"/>
    </xf>
    <xf numFmtId="0" fontId="11" fillId="11" borderId="1" xfId="1" applyFont="1" applyFill="1" applyBorder="1" applyAlignment="1">
      <alignment horizontal="center" vertical="center" wrapText="1"/>
    </xf>
    <xf numFmtId="0" fontId="15" fillId="2" borderId="19" xfId="0" applyFont="1" applyFill="1" applyBorder="1" applyAlignment="1">
      <alignment horizontal="center" vertical="center" wrapText="1"/>
    </xf>
    <xf numFmtId="0" fontId="15" fillId="12" borderId="19" xfId="0" applyFont="1" applyFill="1" applyBorder="1" applyAlignment="1">
      <alignment horizontal="center" vertical="center" wrapText="1"/>
    </xf>
    <xf numFmtId="0" fontId="15" fillId="12" borderId="23" xfId="0" applyFont="1" applyFill="1" applyBorder="1" applyAlignment="1">
      <alignment horizontal="center" vertical="center" wrapText="1"/>
    </xf>
    <xf numFmtId="0" fontId="15" fillId="2" borderId="28" xfId="0" applyFont="1" applyFill="1" applyBorder="1" applyAlignment="1">
      <alignment horizontal="center" vertical="center" wrapText="1"/>
    </xf>
    <xf numFmtId="0" fontId="19" fillId="5" borderId="59" xfId="0" applyFont="1" applyFill="1" applyBorder="1" applyAlignment="1">
      <alignment horizontal="center" vertical="center" wrapText="1"/>
    </xf>
    <xf numFmtId="0" fontId="19" fillId="5" borderId="57" xfId="0" applyFont="1" applyFill="1" applyBorder="1" applyAlignment="1">
      <alignment horizontal="center" vertical="center" wrapText="1"/>
    </xf>
    <xf numFmtId="0" fontId="19" fillId="5" borderId="60" xfId="0" applyFont="1" applyFill="1" applyBorder="1" applyAlignment="1">
      <alignment horizontal="center" vertical="center" wrapText="1"/>
    </xf>
    <xf numFmtId="0" fontId="19" fillId="4" borderId="56" xfId="0" applyFont="1" applyFill="1" applyBorder="1" applyAlignment="1">
      <alignment horizontal="center" vertical="center" wrapText="1"/>
    </xf>
    <xf numFmtId="0" fontId="19" fillId="4" borderId="57" xfId="0" applyFont="1" applyFill="1" applyBorder="1" applyAlignment="1">
      <alignment horizontal="center" vertical="center" wrapText="1"/>
    </xf>
    <xf numFmtId="0" fontId="19" fillId="4" borderId="58" xfId="0" applyFont="1" applyFill="1" applyBorder="1" applyAlignment="1">
      <alignment horizontal="center" vertical="center" wrapText="1"/>
    </xf>
    <xf numFmtId="0" fontId="19" fillId="5" borderId="50" xfId="0" applyFont="1" applyFill="1" applyBorder="1" applyAlignment="1">
      <alignment horizontal="center" vertical="center" wrapText="1"/>
    </xf>
    <xf numFmtId="0" fontId="19" fillId="5" borderId="49" xfId="0" applyFont="1" applyFill="1" applyBorder="1" applyAlignment="1">
      <alignment horizontal="center" vertical="center" wrapText="1"/>
    </xf>
    <xf numFmtId="0" fontId="19" fillId="5" borderId="51" xfId="0" applyFont="1" applyFill="1" applyBorder="1" applyAlignment="1">
      <alignment horizontal="center" vertical="center" wrapText="1"/>
    </xf>
    <xf numFmtId="0" fontId="20" fillId="4" borderId="36" xfId="0" applyFont="1" applyFill="1" applyBorder="1" applyAlignment="1">
      <alignment horizontal="center" vertical="center" wrapText="1"/>
    </xf>
    <xf numFmtId="0" fontId="21" fillId="0" borderId="38" xfId="0" applyFont="1" applyBorder="1" applyAlignment="1">
      <alignment vertical="center"/>
    </xf>
    <xf numFmtId="0" fontId="21" fillId="0" borderId="39" xfId="0" applyFont="1" applyBorder="1" applyAlignment="1">
      <alignment vertical="center"/>
    </xf>
    <xf numFmtId="0" fontId="19" fillId="13" borderId="41" xfId="0" applyFont="1" applyFill="1" applyBorder="1" applyAlignment="1">
      <alignment horizontal="center" vertical="center" wrapText="1"/>
    </xf>
    <xf numFmtId="0" fontId="19" fillId="13" borderId="42" xfId="0" applyFont="1" applyFill="1" applyBorder="1" applyAlignment="1">
      <alignment horizontal="center" vertical="center" wrapText="1"/>
    </xf>
    <xf numFmtId="0" fontId="19" fillId="13" borderId="43" xfId="0" applyFont="1" applyFill="1" applyBorder="1" applyAlignment="1">
      <alignment horizontal="center" vertical="center" wrapText="1"/>
    </xf>
    <xf numFmtId="0" fontId="19" fillId="13" borderId="44" xfId="0" applyFont="1" applyFill="1" applyBorder="1" applyAlignment="1">
      <alignment horizontal="center" vertical="center" wrapText="1"/>
    </xf>
    <xf numFmtId="0" fontId="19" fillId="13" borderId="45" xfId="0" applyFont="1" applyFill="1" applyBorder="1" applyAlignment="1">
      <alignment horizontal="center" vertical="center" wrapText="1"/>
    </xf>
    <xf numFmtId="0" fontId="19" fillId="13" borderId="36" xfId="0" applyFont="1" applyFill="1" applyBorder="1" applyAlignment="1">
      <alignment horizontal="center" vertical="center" wrapText="1"/>
    </xf>
    <xf numFmtId="0" fontId="19" fillId="13" borderId="64" xfId="0" applyFont="1" applyFill="1" applyBorder="1" applyAlignment="1">
      <alignment horizontal="center" vertical="center" wrapText="1"/>
    </xf>
    <xf numFmtId="0" fontId="19" fillId="13" borderId="38" xfId="0" applyFont="1" applyFill="1" applyBorder="1" applyAlignment="1">
      <alignment horizontal="center" vertical="center" wrapText="1"/>
    </xf>
    <xf numFmtId="0" fontId="19" fillId="13" borderId="39" xfId="0" applyFont="1" applyFill="1" applyBorder="1" applyAlignment="1">
      <alignment horizontal="center" vertical="center" wrapText="1"/>
    </xf>
    <xf numFmtId="0" fontId="19" fillId="14" borderId="36" xfId="0" applyFont="1" applyFill="1" applyBorder="1" applyAlignment="1">
      <alignment horizontal="center" vertical="center" wrapText="1"/>
    </xf>
    <xf numFmtId="0" fontId="19" fillId="14" borderId="38" xfId="0" applyFont="1" applyFill="1" applyBorder="1" applyAlignment="1">
      <alignment horizontal="center" vertical="center" wrapText="1"/>
    </xf>
    <xf numFmtId="0" fontId="19" fillId="14" borderId="39" xfId="0" applyFont="1" applyFill="1" applyBorder="1" applyAlignment="1">
      <alignment horizontal="center" vertical="center" wrapText="1"/>
    </xf>
    <xf numFmtId="0" fontId="19" fillId="4" borderId="59" xfId="0" applyFont="1" applyFill="1" applyBorder="1" applyAlignment="1">
      <alignment horizontal="center" vertical="center" wrapText="1"/>
    </xf>
    <xf numFmtId="0" fontId="19" fillId="14" borderId="46" xfId="0" applyFont="1" applyFill="1" applyBorder="1" applyAlignment="1">
      <alignment horizontal="center" vertical="center" wrapText="1"/>
    </xf>
    <xf numFmtId="0" fontId="19" fillId="14" borderId="68" xfId="0" applyFont="1" applyFill="1" applyBorder="1" applyAlignment="1">
      <alignment horizontal="center" vertical="center" wrapText="1"/>
    </xf>
    <xf numFmtId="0" fontId="19" fillId="14" borderId="47" xfId="0" applyFont="1" applyFill="1" applyBorder="1" applyAlignment="1">
      <alignment horizontal="center" vertical="center" wrapText="1"/>
    </xf>
    <xf numFmtId="0" fontId="19" fillId="14" borderId="48" xfId="0" applyFont="1" applyFill="1" applyBorder="1" applyAlignment="1">
      <alignment horizontal="center" vertical="center" wrapText="1"/>
    </xf>
    <xf numFmtId="0" fontId="19" fillId="14" borderId="64" xfId="0" applyFont="1" applyFill="1" applyBorder="1" applyAlignment="1">
      <alignment horizontal="center" vertical="center" wrapText="1"/>
    </xf>
    <xf numFmtId="0" fontId="19" fillId="4" borderId="52" xfId="0" applyFont="1" applyFill="1" applyBorder="1" applyAlignment="1">
      <alignment horizontal="center" vertical="center" wrapText="1"/>
    </xf>
    <xf numFmtId="0" fontId="19" fillId="4" borderId="49" xfId="0" applyFont="1" applyFill="1" applyBorder="1" applyAlignment="1">
      <alignment horizontal="center" vertical="center" wrapText="1"/>
    </xf>
    <xf numFmtId="0" fontId="19" fillId="4" borderId="51" xfId="0" applyFont="1" applyFill="1" applyBorder="1" applyAlignment="1">
      <alignment horizontal="center" vertical="center" wrapText="1"/>
    </xf>
    <xf numFmtId="0" fontId="19" fillId="5" borderId="46" xfId="0" applyFont="1" applyFill="1" applyBorder="1" applyAlignment="1">
      <alignment horizontal="center" vertical="center" wrapText="1"/>
    </xf>
    <xf numFmtId="0" fontId="19" fillId="5" borderId="68" xfId="0" applyFont="1" applyFill="1" applyBorder="1" applyAlignment="1">
      <alignment horizontal="center" vertical="center" wrapText="1"/>
    </xf>
    <xf numFmtId="0" fontId="19" fillId="5" borderId="47" xfId="0" applyFont="1" applyFill="1" applyBorder="1" applyAlignment="1">
      <alignment horizontal="center" vertical="center" wrapText="1"/>
    </xf>
    <xf numFmtId="0" fontId="19" fillId="5" borderId="48" xfId="0" applyFont="1" applyFill="1" applyBorder="1" applyAlignment="1">
      <alignment horizontal="center" vertical="center" wrapText="1"/>
    </xf>
    <xf numFmtId="0" fontId="19" fillId="4" borderId="36" xfId="0" applyFont="1" applyFill="1" applyBorder="1" applyAlignment="1">
      <alignment horizontal="center" vertical="center" wrapText="1"/>
    </xf>
    <xf numFmtId="0" fontId="19" fillId="4" borderId="64" xfId="0" applyFont="1" applyFill="1" applyBorder="1" applyAlignment="1">
      <alignment horizontal="center" vertical="center" wrapText="1"/>
    </xf>
    <xf numFmtId="0" fontId="19" fillId="4" borderId="38" xfId="0" applyFont="1" applyFill="1" applyBorder="1" applyAlignment="1">
      <alignment horizontal="center" vertical="center" wrapText="1"/>
    </xf>
    <xf numFmtId="0" fontId="19" fillId="4" borderId="39" xfId="0" applyFont="1" applyFill="1" applyBorder="1" applyAlignment="1">
      <alignment horizontal="center" vertical="center" wrapText="1"/>
    </xf>
    <xf numFmtId="0" fontId="18" fillId="11" borderId="13" xfId="1" applyFont="1" applyFill="1" applyBorder="1" applyAlignment="1">
      <alignment horizontal="left" vertical="top" wrapText="1"/>
    </xf>
    <xf numFmtId="0" fontId="2" fillId="11" borderId="14" xfId="1" applyFont="1" applyFill="1" applyBorder="1" applyAlignment="1">
      <alignment horizontal="left" vertical="top" wrapText="1"/>
    </xf>
    <xf numFmtId="0" fontId="2" fillId="11" borderId="10" xfId="1" applyFont="1" applyFill="1" applyBorder="1" applyAlignment="1">
      <alignment horizontal="left" vertical="top" wrapText="1"/>
    </xf>
    <xf numFmtId="0" fontId="18" fillId="5" borderId="13" xfId="1" applyFont="1" applyFill="1" applyBorder="1" applyAlignment="1">
      <alignment horizontal="left" vertical="top" wrapText="1"/>
    </xf>
    <xf numFmtId="0" fontId="2" fillId="5" borderId="14" xfId="1" applyFont="1" applyFill="1" applyBorder="1" applyAlignment="1">
      <alignment horizontal="left" vertical="top" wrapText="1"/>
    </xf>
    <xf numFmtId="0" fontId="2" fillId="5" borderId="10" xfId="1" applyFont="1" applyFill="1" applyBorder="1" applyAlignment="1">
      <alignment horizontal="left" vertical="top" wrapText="1"/>
    </xf>
    <xf numFmtId="0" fontId="18" fillId="0" borderId="13" xfId="1" applyFont="1" applyBorder="1" applyAlignment="1">
      <alignment horizontal="left" vertical="top" wrapText="1"/>
    </xf>
    <xf numFmtId="0" fontId="2" fillId="0" borderId="14" xfId="1" applyFont="1" applyBorder="1" applyAlignment="1">
      <alignment horizontal="left" vertical="top" wrapText="1"/>
    </xf>
    <xf numFmtId="0" fontId="2" fillId="0" borderId="10" xfId="1" applyFont="1" applyBorder="1" applyAlignment="1">
      <alignment horizontal="left" vertical="top" wrapText="1"/>
    </xf>
    <xf numFmtId="0" fontId="2" fillId="11" borderId="13" xfId="1" applyFont="1" applyFill="1" applyBorder="1" applyAlignment="1">
      <alignment horizontal="left" vertical="top" wrapText="1"/>
    </xf>
    <xf numFmtId="0" fontId="17" fillId="9" borderId="11" xfId="1" applyFont="1" applyFill="1" applyBorder="1" applyAlignment="1">
      <alignment horizontal="center" vertical="center" wrapText="1"/>
    </xf>
    <xf numFmtId="0" fontId="17" fillId="9" borderId="12" xfId="1" applyFont="1" applyFill="1" applyBorder="1" applyAlignment="1">
      <alignment horizontal="center" vertical="center" wrapText="1"/>
    </xf>
    <xf numFmtId="0" fontId="4" fillId="7" borderId="0" xfId="1" applyFont="1" applyFill="1" applyAlignment="1">
      <alignment horizontal="left" vertical="center"/>
    </xf>
    <xf numFmtId="0" fontId="5" fillId="0" borderId="0" xfId="1" applyAlignment="1"/>
    <xf numFmtId="0" fontId="2" fillId="10" borderId="1" xfId="1" applyFont="1" applyFill="1" applyBorder="1" applyAlignment="1">
      <alignment horizontal="center" vertical="top" wrapText="1"/>
    </xf>
    <xf numFmtId="0" fontId="5" fillId="0" borderId="10" xfId="1" applyBorder="1" applyAlignment="1"/>
    <xf numFmtId="0" fontId="1" fillId="9" borderId="1" xfId="1" applyFont="1" applyFill="1" applyBorder="1" applyAlignment="1">
      <alignment horizontal="center" vertical="center" wrapText="1"/>
    </xf>
    <xf numFmtId="0" fontId="13" fillId="8" borderId="1" xfId="1" applyFont="1" applyFill="1" applyBorder="1" applyAlignment="1">
      <alignment horizontal="center" vertical="top" wrapText="1"/>
    </xf>
    <xf numFmtId="0" fontId="2" fillId="8" borderId="1" xfId="1" applyFont="1" applyFill="1" applyBorder="1" applyAlignment="1">
      <alignment horizontal="center" vertical="top" wrapText="1"/>
    </xf>
    <xf numFmtId="0" fontId="2" fillId="8" borderId="1" xfId="1" applyFont="1" applyFill="1" applyBorder="1" applyAlignment="1">
      <alignment horizontal="center" vertical="center" wrapText="1"/>
    </xf>
    <xf numFmtId="0" fontId="4" fillId="7" borderId="0" xfId="1" applyFont="1" applyFill="1" applyAlignment="1">
      <alignment horizontal="left" vertical="center" wrapText="1"/>
    </xf>
  </cellXfs>
  <cellStyles count="3">
    <cellStyle name="통화 [0] 2" xfId="2" xr:uid="{F9FAE165-EFF2-492E-83AB-F5B1CCCB983C}"/>
    <cellStyle name="표준" xfId="0" builtinId="0"/>
    <cellStyle name="표준 2" xfId="1" xr:uid="{DD107EB9-73C1-4A20-8294-70F2B60A56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31</xdr:col>
      <xdr:colOff>247650</xdr:colOff>
      <xdr:row>409</xdr:row>
      <xdr:rowOff>114300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D5746E9-69A5-CC11-723B-C4677A31A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6536650" cy="780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F4A3E1B-8185-4302-9B6F-FE624232A6E6}">
  <we:reference id="wa200009404" version="1.0.0.8" store="en-US" storeType="OMEX"/>
  <we:alternateReferences>
    <we:reference id="WA200009404" version="1.0.0.8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E82F-C403-436E-9A16-BAB7E490A6DC}">
  <dimension ref="A1:J29"/>
  <sheetViews>
    <sheetView showGridLines="0" tabSelected="1" workbookViewId="0">
      <selection activeCell="I6" sqref="I6"/>
    </sheetView>
  </sheetViews>
  <sheetFormatPr defaultColWidth="9.140625" defaultRowHeight="15" x14ac:dyDescent="0.25"/>
  <cols>
    <col min="1" max="1" width="26" style="18" customWidth="1"/>
    <col min="2" max="2" width="78" style="18" customWidth="1"/>
    <col min="3" max="5" width="9.140625" style="6"/>
    <col min="6" max="6" width="7.85546875" style="18" customWidth="1"/>
    <col min="7" max="7" width="11.85546875" style="18" customWidth="1"/>
    <col min="8" max="8" width="7.42578125" style="18" customWidth="1"/>
    <col min="9" max="9" width="30.5703125" style="18" customWidth="1"/>
    <col min="10" max="10" width="16.42578125" style="18" customWidth="1"/>
    <col min="11" max="16384" width="9.140625" style="6"/>
  </cols>
  <sheetData>
    <row r="1" spans="1:10" ht="21.95" customHeight="1" thickBot="1" x14ac:dyDescent="0.3">
      <c r="A1" s="1" t="s">
        <v>73</v>
      </c>
      <c r="B1" s="1" t="s">
        <v>74</v>
      </c>
      <c r="C1" s="2"/>
      <c r="D1" s="2"/>
      <c r="E1" s="2"/>
      <c r="F1" s="3" t="s">
        <v>75</v>
      </c>
      <c r="G1" s="4" t="s">
        <v>76</v>
      </c>
      <c r="H1" s="4" t="s">
        <v>77</v>
      </c>
      <c r="I1" s="4" t="s">
        <v>78</v>
      </c>
      <c r="J1" s="5" t="s">
        <v>79</v>
      </c>
    </row>
    <row r="2" spans="1:10" ht="18" customHeight="1" thickTop="1" x14ac:dyDescent="0.3">
      <c r="A2" s="7" t="s">
        <v>80</v>
      </c>
      <c r="B2" s="8" t="s">
        <v>102</v>
      </c>
      <c r="C2" s="2"/>
      <c r="D2" s="2"/>
      <c r="E2" s="2"/>
      <c r="F2" s="9">
        <v>0.1</v>
      </c>
      <c r="G2" s="10" t="s">
        <v>99</v>
      </c>
      <c r="H2" s="20" t="s">
        <v>98</v>
      </c>
      <c r="I2" s="19" t="s">
        <v>96</v>
      </c>
      <c r="J2" s="12" t="s">
        <v>205</v>
      </c>
    </row>
    <row r="3" spans="1:10" ht="18" customHeight="1" x14ac:dyDescent="0.3">
      <c r="A3" s="7" t="s">
        <v>75</v>
      </c>
      <c r="B3" s="8">
        <v>0.2</v>
      </c>
      <c r="C3" s="2"/>
      <c r="D3" s="2"/>
      <c r="E3" s="2"/>
      <c r="F3" s="9">
        <v>0.2</v>
      </c>
      <c r="G3" s="10" t="s">
        <v>100</v>
      </c>
      <c r="H3" s="20" t="s">
        <v>97</v>
      </c>
      <c r="I3" s="20" t="s">
        <v>101</v>
      </c>
      <c r="J3" s="12"/>
    </row>
    <row r="4" spans="1:10" ht="18" customHeight="1" x14ac:dyDescent="0.3">
      <c r="A4" s="7" t="s">
        <v>76</v>
      </c>
      <c r="B4" s="13">
        <v>46087</v>
      </c>
      <c r="C4" s="2"/>
      <c r="D4" s="2"/>
      <c r="E4" s="2"/>
      <c r="F4" s="9">
        <v>0.4</v>
      </c>
      <c r="G4" s="10" t="s">
        <v>296</v>
      </c>
      <c r="H4" s="14" t="s">
        <v>297</v>
      </c>
      <c r="I4" s="20" t="s">
        <v>298</v>
      </c>
      <c r="J4" s="12"/>
    </row>
    <row r="5" spans="1:10" ht="18" customHeight="1" x14ac:dyDescent="0.3">
      <c r="A5" s="7" t="s">
        <v>77</v>
      </c>
      <c r="B5" s="21" t="s">
        <v>211</v>
      </c>
      <c r="C5" s="2"/>
      <c r="D5" s="2"/>
      <c r="E5" s="2"/>
      <c r="F5" s="9">
        <v>0.5</v>
      </c>
      <c r="G5" s="11" t="s">
        <v>318</v>
      </c>
      <c r="H5" s="20" t="s">
        <v>297</v>
      </c>
      <c r="I5" s="11" t="s">
        <v>319</v>
      </c>
      <c r="J5" s="12"/>
    </row>
    <row r="6" spans="1:10" ht="18" customHeight="1" x14ac:dyDescent="0.25">
      <c r="A6" s="7" t="s">
        <v>81</v>
      </c>
      <c r="B6" s="8" t="s">
        <v>103</v>
      </c>
      <c r="C6" s="2"/>
      <c r="D6" s="2"/>
      <c r="E6" s="2"/>
      <c r="F6" s="9"/>
      <c r="G6" s="11"/>
      <c r="H6" s="11"/>
      <c r="I6" s="11"/>
      <c r="J6" s="12"/>
    </row>
    <row r="7" spans="1:10" ht="18" customHeight="1" x14ac:dyDescent="0.25">
      <c r="A7" s="7" t="s">
        <v>82</v>
      </c>
      <c r="B7" s="8" t="s">
        <v>83</v>
      </c>
      <c r="C7" s="2"/>
      <c r="D7" s="2"/>
      <c r="E7" s="2"/>
      <c r="F7" s="9"/>
      <c r="G7" s="11"/>
      <c r="H7" s="11"/>
      <c r="I7" s="11"/>
      <c r="J7" s="12"/>
    </row>
    <row r="8" spans="1:10" ht="18" customHeight="1" x14ac:dyDescent="0.25">
      <c r="A8" s="7" t="s">
        <v>84</v>
      </c>
      <c r="B8" s="8" t="s">
        <v>85</v>
      </c>
      <c r="C8" s="2"/>
      <c r="D8" s="2"/>
      <c r="E8" s="2"/>
      <c r="F8" s="9"/>
      <c r="G8" s="11"/>
      <c r="H8" s="11"/>
      <c r="I8" s="11"/>
      <c r="J8" s="12"/>
    </row>
    <row r="9" spans="1:10" ht="18" customHeight="1" x14ac:dyDescent="0.25">
      <c r="A9" s="7" t="s">
        <v>86</v>
      </c>
      <c r="B9" s="8" t="s">
        <v>87</v>
      </c>
      <c r="C9" s="2"/>
      <c r="D9" s="2"/>
      <c r="E9" s="2"/>
      <c r="F9" s="9"/>
      <c r="G9" s="11"/>
      <c r="H9" s="11"/>
      <c r="I9" s="11"/>
      <c r="J9" s="12"/>
    </row>
    <row r="10" spans="1:10" ht="18" customHeight="1" x14ac:dyDescent="0.25">
      <c r="A10" s="7" t="s">
        <v>88</v>
      </c>
      <c r="B10" s="8" t="s">
        <v>89</v>
      </c>
      <c r="C10" s="2"/>
      <c r="D10" s="2"/>
      <c r="E10" s="2"/>
      <c r="F10" s="9"/>
      <c r="G10" s="11"/>
      <c r="H10" s="11"/>
      <c r="I10" s="11"/>
      <c r="J10" s="12"/>
    </row>
    <row r="11" spans="1:10" ht="18" customHeight="1" x14ac:dyDescent="0.25">
      <c r="A11" s="7" t="s">
        <v>90</v>
      </c>
      <c r="B11" s="8" t="s">
        <v>91</v>
      </c>
      <c r="C11" s="2"/>
      <c r="D11" s="2"/>
      <c r="E11" s="2"/>
      <c r="F11" s="9"/>
      <c r="G11" s="11"/>
      <c r="H11" s="11"/>
      <c r="I11" s="11"/>
      <c r="J11" s="12"/>
    </row>
    <row r="12" spans="1:10" ht="18" customHeight="1" x14ac:dyDescent="0.25">
      <c r="A12" s="7" t="s">
        <v>92</v>
      </c>
      <c r="B12" s="8" t="s">
        <v>93</v>
      </c>
      <c r="C12" s="2"/>
      <c r="D12" s="2"/>
      <c r="E12" s="2"/>
      <c r="F12" s="9"/>
      <c r="G12" s="11"/>
      <c r="H12" s="11"/>
      <c r="I12" s="11"/>
      <c r="J12" s="12"/>
    </row>
    <row r="13" spans="1:10" ht="18" customHeight="1" x14ac:dyDescent="0.25">
      <c r="A13" s="7" t="s">
        <v>94</v>
      </c>
      <c r="B13" s="8" t="s">
        <v>95</v>
      </c>
      <c r="C13" s="2"/>
      <c r="D13" s="2"/>
      <c r="E13" s="2"/>
      <c r="F13" s="9"/>
      <c r="G13" s="11"/>
      <c r="H13" s="11"/>
      <c r="I13" s="11"/>
      <c r="J13" s="12"/>
    </row>
    <row r="14" spans="1:10" x14ac:dyDescent="0.25">
      <c r="A14" s="2"/>
      <c r="B14" s="2"/>
      <c r="C14" s="2"/>
      <c r="D14" s="2"/>
      <c r="E14" s="2"/>
      <c r="F14" s="9"/>
      <c r="G14" s="11"/>
      <c r="H14" s="11"/>
      <c r="I14" s="11"/>
      <c r="J14" s="12"/>
    </row>
    <row r="15" spans="1:10" x14ac:dyDescent="0.25">
      <c r="A15" s="2"/>
      <c r="B15" s="2"/>
      <c r="C15" s="2"/>
      <c r="D15" s="2"/>
      <c r="E15" s="2"/>
      <c r="F15" s="9"/>
      <c r="G15" s="11"/>
      <c r="H15" s="11"/>
      <c r="I15" s="11"/>
      <c r="J15" s="12"/>
    </row>
    <row r="16" spans="1:10" ht="15.75" thickBot="1" x14ac:dyDescent="0.3">
      <c r="A16" s="2"/>
      <c r="B16" s="2"/>
      <c r="C16" s="2"/>
      <c r="D16" s="2"/>
      <c r="E16" s="2"/>
      <c r="F16" s="9"/>
      <c r="G16" s="11"/>
      <c r="H16" s="11"/>
      <c r="I16" s="11"/>
      <c r="J16" s="12"/>
    </row>
    <row r="17" spans="1:10" x14ac:dyDescent="0.25">
      <c r="A17" s="33" t="s">
        <v>206</v>
      </c>
      <c r="B17" s="34"/>
      <c r="C17" s="2"/>
      <c r="D17" s="2"/>
      <c r="E17" s="2"/>
      <c r="F17" s="9"/>
      <c r="G17" s="11"/>
      <c r="H17" s="11"/>
      <c r="I17" s="11"/>
      <c r="J17" s="12"/>
    </row>
    <row r="18" spans="1:10" x14ac:dyDescent="0.25">
      <c r="A18" s="35"/>
      <c r="B18" s="36"/>
      <c r="C18" s="2"/>
      <c r="D18" s="2"/>
      <c r="E18" s="2"/>
      <c r="F18" s="9"/>
      <c r="G18" s="11"/>
      <c r="H18" s="11"/>
      <c r="I18" s="11"/>
      <c r="J18" s="12"/>
    </row>
    <row r="19" spans="1:10" x14ac:dyDescent="0.25">
      <c r="A19" s="35"/>
      <c r="B19" s="36"/>
      <c r="C19" s="2"/>
      <c r="D19" s="2"/>
      <c r="E19" s="2"/>
      <c r="F19" s="9"/>
      <c r="G19" s="11"/>
      <c r="H19" s="11"/>
      <c r="I19" s="11"/>
      <c r="J19" s="12"/>
    </row>
    <row r="20" spans="1:10" x14ac:dyDescent="0.25">
      <c r="A20" s="35"/>
      <c r="B20" s="36"/>
      <c r="C20" s="2"/>
      <c r="D20" s="2"/>
      <c r="E20" s="2"/>
      <c r="F20" s="9"/>
      <c r="G20" s="11"/>
      <c r="H20" s="11"/>
      <c r="I20" s="11"/>
      <c r="J20" s="12"/>
    </row>
    <row r="21" spans="1:10" x14ac:dyDescent="0.25">
      <c r="A21" s="35"/>
      <c r="B21" s="36"/>
      <c r="C21" s="2"/>
      <c r="D21" s="2"/>
      <c r="E21" s="2"/>
      <c r="F21" s="9"/>
      <c r="G21" s="11"/>
      <c r="H21" s="11"/>
      <c r="I21" s="11"/>
      <c r="J21" s="12"/>
    </row>
    <row r="22" spans="1:10" x14ac:dyDescent="0.25">
      <c r="A22" s="35"/>
      <c r="B22" s="36"/>
      <c r="C22" s="2"/>
      <c r="D22" s="2"/>
      <c r="E22" s="2"/>
      <c r="F22" s="9"/>
      <c r="G22" s="11"/>
      <c r="H22" s="11"/>
      <c r="I22" s="11"/>
      <c r="J22" s="12"/>
    </row>
    <row r="23" spans="1:10" x14ac:dyDescent="0.25">
      <c r="A23" s="35"/>
      <c r="B23" s="36"/>
      <c r="C23" s="2"/>
      <c r="D23" s="2"/>
      <c r="E23" s="2"/>
      <c r="F23" s="9"/>
      <c r="G23" s="11"/>
      <c r="H23" s="11"/>
      <c r="I23" s="11"/>
      <c r="J23" s="12"/>
    </row>
    <row r="24" spans="1:10" x14ac:dyDescent="0.25">
      <c r="A24" s="35"/>
      <c r="B24" s="36"/>
      <c r="C24" s="2"/>
      <c r="D24" s="2"/>
      <c r="E24" s="2"/>
      <c r="F24" s="9"/>
      <c r="G24" s="11"/>
      <c r="H24" s="11"/>
      <c r="I24" s="11"/>
      <c r="J24" s="12"/>
    </row>
    <row r="25" spans="1:10" x14ac:dyDescent="0.25">
      <c r="A25" s="35"/>
      <c r="B25" s="36"/>
      <c r="C25" s="2"/>
      <c r="D25" s="2"/>
      <c r="E25" s="2"/>
      <c r="F25" s="9"/>
      <c r="G25" s="11"/>
      <c r="H25" s="11"/>
      <c r="I25" s="11"/>
      <c r="J25" s="12"/>
    </row>
    <row r="26" spans="1:10" x14ac:dyDescent="0.25">
      <c r="A26" s="35"/>
      <c r="B26" s="36"/>
      <c r="C26" s="2"/>
      <c r="D26" s="2"/>
      <c r="E26" s="2"/>
      <c r="F26" s="9"/>
      <c r="G26" s="11"/>
      <c r="H26" s="11"/>
      <c r="I26" s="11"/>
      <c r="J26" s="12"/>
    </row>
    <row r="27" spans="1:10" x14ac:dyDescent="0.25">
      <c r="A27" s="35"/>
      <c r="B27" s="36"/>
      <c r="C27" s="2"/>
      <c r="D27" s="2"/>
      <c r="E27" s="2"/>
      <c r="F27" s="9"/>
      <c r="G27" s="11"/>
      <c r="H27" s="11"/>
      <c r="I27" s="11"/>
      <c r="J27" s="12"/>
    </row>
    <row r="28" spans="1:10" x14ac:dyDescent="0.25">
      <c r="A28" s="35"/>
      <c r="B28" s="36"/>
      <c r="C28" s="2"/>
      <c r="D28" s="2"/>
      <c r="E28" s="2"/>
      <c r="F28" s="9"/>
      <c r="G28" s="11"/>
      <c r="H28" s="11"/>
      <c r="I28" s="11"/>
      <c r="J28" s="12"/>
    </row>
    <row r="29" spans="1:10" ht="17.25" customHeight="1" thickBot="1" x14ac:dyDescent="0.3">
      <c r="A29" s="37"/>
      <c r="B29" s="38"/>
      <c r="C29" s="2"/>
      <c r="D29" s="2"/>
      <c r="E29" s="2"/>
      <c r="F29" s="15"/>
      <c r="G29" s="16"/>
      <c r="H29" s="16"/>
      <c r="I29" s="16"/>
      <c r="J29" s="17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BD265-85D4-46FC-B38D-39021071963D}">
  <dimension ref="A1"/>
  <sheetViews>
    <sheetView showGridLines="0" zoomScale="25" zoomScaleNormal="25" workbookViewId="0">
      <selection activeCell="AW173" sqref="AW173"/>
    </sheetView>
  </sheetViews>
  <sheetFormatPr defaultColWidth="9.140625" defaultRowHeight="15" x14ac:dyDescent="0.25"/>
  <cols>
    <col min="1" max="1" width="120" style="18" customWidth="1"/>
    <col min="2" max="16384" width="9.140625" style="6"/>
  </cols>
  <sheetData/>
  <phoneticPr fontId="3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1DC4A-5314-479F-8F28-73DBE759E1EE}">
  <dimension ref="A1:E40"/>
  <sheetViews>
    <sheetView showGridLines="0" zoomScale="115" zoomScaleNormal="115" workbookViewId="0">
      <selection activeCell="C16" sqref="C16:E16"/>
    </sheetView>
  </sheetViews>
  <sheetFormatPr defaultColWidth="9.140625" defaultRowHeight="15" x14ac:dyDescent="0.25"/>
  <cols>
    <col min="1" max="1" width="18" style="18" customWidth="1"/>
    <col min="2" max="2" width="16" style="18" customWidth="1"/>
    <col min="3" max="3" width="35" style="18" customWidth="1"/>
    <col min="4" max="4" width="39.85546875" style="18" customWidth="1"/>
    <col min="5" max="5" width="55.85546875" style="18" customWidth="1"/>
    <col min="6" max="16384" width="9.140625" style="6"/>
  </cols>
  <sheetData>
    <row r="1" spans="1:5" ht="21.95" customHeight="1" x14ac:dyDescent="0.25">
      <c r="A1" s="208" t="s">
        <v>104</v>
      </c>
      <c r="B1" s="209"/>
      <c r="C1" s="209"/>
      <c r="D1" s="209"/>
      <c r="E1" s="209"/>
    </row>
    <row r="2" spans="1:5" x14ac:dyDescent="0.25">
      <c r="A2" s="22" t="s">
        <v>105</v>
      </c>
      <c r="B2" s="22" t="s">
        <v>73</v>
      </c>
      <c r="C2" s="212" t="s">
        <v>106</v>
      </c>
      <c r="D2" s="211"/>
    </row>
    <row r="3" spans="1:5" ht="18" customHeight="1" x14ac:dyDescent="0.25">
      <c r="A3" s="23" t="s">
        <v>107</v>
      </c>
      <c r="B3" s="23" t="s">
        <v>108</v>
      </c>
      <c r="C3" s="213" t="s">
        <v>109</v>
      </c>
      <c r="D3" s="211"/>
    </row>
    <row r="4" spans="1:5" ht="18" customHeight="1" x14ac:dyDescent="0.25">
      <c r="A4" s="24" t="s">
        <v>107</v>
      </c>
      <c r="B4" s="24" t="s">
        <v>110</v>
      </c>
      <c r="C4" s="210" t="s">
        <v>111</v>
      </c>
      <c r="D4" s="211"/>
    </row>
    <row r="5" spans="1:5" ht="18" customHeight="1" x14ac:dyDescent="0.25">
      <c r="A5" s="23" t="s">
        <v>107</v>
      </c>
      <c r="B5" s="23" t="s">
        <v>112</v>
      </c>
      <c r="C5" s="214" t="s">
        <v>113</v>
      </c>
      <c r="D5" s="211"/>
    </row>
    <row r="6" spans="1:5" ht="18" customHeight="1" x14ac:dyDescent="0.25">
      <c r="A6" s="24" t="s">
        <v>107</v>
      </c>
      <c r="B6" s="24" t="s">
        <v>114</v>
      </c>
      <c r="C6" s="210" t="s">
        <v>115</v>
      </c>
      <c r="D6" s="211"/>
    </row>
    <row r="7" spans="1:5" ht="9.9499999999999993" customHeight="1" x14ac:dyDescent="0.25"/>
    <row r="8" spans="1:5" ht="21.95" customHeight="1" x14ac:dyDescent="0.25">
      <c r="A8" s="208" t="s">
        <v>212</v>
      </c>
      <c r="B8" s="209"/>
      <c r="C8" s="209"/>
      <c r="D8" s="209"/>
      <c r="E8" s="209"/>
    </row>
    <row r="9" spans="1:5" x14ac:dyDescent="0.25">
      <c r="A9" s="22" t="s">
        <v>105</v>
      </c>
      <c r="B9" s="22" t="s">
        <v>117</v>
      </c>
      <c r="C9" s="22" t="s">
        <v>118</v>
      </c>
      <c r="D9" s="22" t="s">
        <v>119</v>
      </c>
      <c r="E9" s="22" t="s">
        <v>120</v>
      </c>
    </row>
    <row r="10" spans="1:5" ht="18" customHeight="1" x14ac:dyDescent="0.25">
      <c r="A10" s="23" t="s">
        <v>25</v>
      </c>
      <c r="B10" s="23" t="s">
        <v>26</v>
      </c>
      <c r="C10" s="27" t="s">
        <v>121</v>
      </c>
      <c r="D10" s="26" t="s">
        <v>122</v>
      </c>
      <c r="E10" s="27" t="s">
        <v>123</v>
      </c>
    </row>
    <row r="11" spans="1:5" ht="18" customHeight="1" x14ac:dyDescent="0.25">
      <c r="A11" s="24" t="s">
        <v>124</v>
      </c>
      <c r="B11" s="24" t="s">
        <v>213</v>
      </c>
      <c r="C11" s="41" t="s">
        <v>214</v>
      </c>
      <c r="D11" s="25" t="s">
        <v>124</v>
      </c>
      <c r="E11" s="41" t="s">
        <v>215</v>
      </c>
    </row>
    <row r="12" spans="1:5" ht="18" customHeight="1" x14ac:dyDescent="0.25"/>
    <row r="13" spans="1:5" ht="18" customHeight="1" x14ac:dyDescent="0.25">
      <c r="A13" s="208" t="s">
        <v>299</v>
      </c>
      <c r="B13" s="209"/>
      <c r="C13" s="209"/>
      <c r="D13" s="209"/>
      <c r="E13" s="209"/>
    </row>
    <row r="14" spans="1:5" ht="18" customHeight="1" x14ac:dyDescent="0.25">
      <c r="A14" s="22" t="s">
        <v>105</v>
      </c>
      <c r="B14" s="144" t="s">
        <v>73</v>
      </c>
      <c r="C14" s="206" t="s">
        <v>106</v>
      </c>
      <c r="D14" s="207"/>
      <c r="E14" s="207"/>
    </row>
    <row r="15" spans="1:5" ht="18" customHeight="1" x14ac:dyDescent="0.25">
      <c r="A15" s="146" t="s">
        <v>126</v>
      </c>
      <c r="B15" s="148" t="s">
        <v>300</v>
      </c>
      <c r="C15" s="199" t="s">
        <v>301</v>
      </c>
      <c r="D15" s="200"/>
      <c r="E15" s="201"/>
    </row>
    <row r="16" spans="1:5" ht="18" customHeight="1" x14ac:dyDescent="0.25">
      <c r="A16" s="145" t="s">
        <v>126</v>
      </c>
      <c r="B16" s="147" t="s">
        <v>302</v>
      </c>
      <c r="C16" s="202" t="s">
        <v>303</v>
      </c>
      <c r="D16" s="203"/>
      <c r="E16" s="204"/>
    </row>
    <row r="17" spans="1:5" ht="18" customHeight="1" x14ac:dyDescent="0.25">
      <c r="A17" s="146" t="s">
        <v>126</v>
      </c>
      <c r="B17" s="148" t="s">
        <v>304</v>
      </c>
      <c r="C17" s="199" t="s">
        <v>305</v>
      </c>
      <c r="D17" s="200"/>
      <c r="E17" s="201"/>
    </row>
    <row r="18" spans="1:5" ht="18" customHeight="1" x14ac:dyDescent="0.25">
      <c r="A18" s="149" t="s">
        <v>126</v>
      </c>
      <c r="B18" s="150" t="s">
        <v>306</v>
      </c>
      <c r="C18" s="196" t="s">
        <v>307</v>
      </c>
      <c r="D18" s="197"/>
      <c r="E18" s="198"/>
    </row>
    <row r="19" spans="1:5" ht="18" customHeight="1" x14ac:dyDescent="0.25">
      <c r="A19" s="149" t="s">
        <v>126</v>
      </c>
      <c r="B19" s="149" t="s">
        <v>308</v>
      </c>
      <c r="C19" s="205" t="s">
        <v>309</v>
      </c>
      <c r="D19" s="197"/>
      <c r="E19" s="198"/>
    </row>
    <row r="20" spans="1:5" ht="18" customHeight="1" x14ac:dyDescent="0.25">
      <c r="A20" s="149" t="s">
        <v>126</v>
      </c>
      <c r="B20" s="149" t="s">
        <v>125</v>
      </c>
      <c r="C20" s="196" t="s">
        <v>310</v>
      </c>
      <c r="D20" s="197"/>
      <c r="E20" s="198"/>
    </row>
    <row r="21" spans="1:5" ht="18" customHeight="1" x14ac:dyDescent="0.25"/>
    <row r="22" spans="1:5" ht="18" customHeight="1" x14ac:dyDescent="0.25"/>
    <row r="23" spans="1:5" ht="18" customHeight="1" x14ac:dyDescent="0.25"/>
    <row r="24" spans="1:5" ht="18" customHeight="1" x14ac:dyDescent="0.25"/>
    <row r="25" spans="1:5" ht="18" customHeight="1" x14ac:dyDescent="0.25"/>
    <row r="26" spans="1:5" ht="18" customHeight="1" x14ac:dyDescent="0.25"/>
    <row r="27" spans="1:5" ht="18" customHeight="1" x14ac:dyDescent="0.25"/>
    <row r="28" spans="1:5" ht="18" customHeight="1" x14ac:dyDescent="0.25"/>
    <row r="29" spans="1:5" ht="18" customHeight="1" x14ac:dyDescent="0.25"/>
    <row r="31" spans="1:5" ht="21.95" customHeight="1" x14ac:dyDescent="0.25"/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</sheetData>
  <mergeCells count="15">
    <mergeCell ref="C14:E14"/>
    <mergeCell ref="A13:E13"/>
    <mergeCell ref="A8:E8"/>
    <mergeCell ref="C6:D6"/>
    <mergeCell ref="A1:E1"/>
    <mergeCell ref="C2:D2"/>
    <mergeCell ref="C3:D3"/>
    <mergeCell ref="C4:D4"/>
    <mergeCell ref="C5:D5"/>
    <mergeCell ref="C20:E20"/>
    <mergeCell ref="C15:E15"/>
    <mergeCell ref="C16:E16"/>
    <mergeCell ref="C17:E17"/>
    <mergeCell ref="C18:E18"/>
    <mergeCell ref="C19:E19"/>
  </mergeCells>
  <phoneticPr fontId="3" type="noConversion"/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6479A-1FDA-4884-BA18-1A2D8890D031}">
  <dimension ref="A1:E34"/>
  <sheetViews>
    <sheetView workbookViewId="0">
      <selection activeCell="D49" sqref="D49"/>
    </sheetView>
  </sheetViews>
  <sheetFormatPr defaultColWidth="9.140625" defaultRowHeight="15" x14ac:dyDescent="0.25"/>
  <cols>
    <col min="1" max="1" width="14" style="18" customWidth="1"/>
    <col min="2" max="2" width="27.28515625" style="18" customWidth="1"/>
    <col min="3" max="3" width="31.85546875" style="18" customWidth="1"/>
    <col min="4" max="4" width="62.28515625" style="18" customWidth="1"/>
    <col min="5" max="5" width="28" style="18" customWidth="1"/>
    <col min="6" max="16384" width="9.140625" style="6"/>
  </cols>
  <sheetData>
    <row r="1" spans="1:5" x14ac:dyDescent="0.25">
      <c r="A1" s="216" t="s">
        <v>127</v>
      </c>
      <c r="B1" s="209"/>
      <c r="C1" s="209"/>
      <c r="D1" s="209"/>
      <c r="E1" s="209"/>
    </row>
    <row r="2" spans="1:5" x14ac:dyDescent="0.25">
      <c r="A2" s="28" t="s">
        <v>105</v>
      </c>
      <c r="B2" s="28" t="s">
        <v>73</v>
      </c>
      <c r="C2" s="212" t="s">
        <v>106</v>
      </c>
      <c r="D2" s="211"/>
      <c r="E2" s="29" t="s">
        <v>128</v>
      </c>
    </row>
    <row r="3" spans="1:5" x14ac:dyDescent="0.25">
      <c r="A3" s="216" t="s">
        <v>129</v>
      </c>
      <c r="B3" s="209"/>
      <c r="C3" s="209"/>
      <c r="D3" s="209"/>
      <c r="E3" s="209"/>
    </row>
    <row r="4" spans="1:5" ht="30" customHeight="1" x14ac:dyDescent="0.25">
      <c r="A4" s="30" t="s">
        <v>130</v>
      </c>
      <c r="B4" s="30" t="s">
        <v>110</v>
      </c>
      <c r="C4" s="215" t="s">
        <v>131</v>
      </c>
      <c r="D4" s="211"/>
      <c r="E4" s="23" t="s">
        <v>132</v>
      </c>
    </row>
    <row r="5" spans="1:5" x14ac:dyDescent="0.25">
      <c r="A5" s="30" t="s">
        <v>130</v>
      </c>
      <c r="B5" s="30" t="s">
        <v>133</v>
      </c>
      <c r="C5" s="215" t="s">
        <v>134</v>
      </c>
      <c r="D5" s="211"/>
      <c r="E5" s="26"/>
    </row>
    <row r="6" spans="1:5" x14ac:dyDescent="0.25">
      <c r="A6" s="216" t="s">
        <v>135</v>
      </c>
      <c r="B6" s="209"/>
      <c r="C6" s="209"/>
      <c r="D6" s="209"/>
      <c r="E6" s="209"/>
    </row>
    <row r="7" spans="1:5" x14ac:dyDescent="0.25">
      <c r="A7" s="30" t="s">
        <v>136</v>
      </c>
      <c r="B7" s="30" t="s">
        <v>137</v>
      </c>
      <c r="C7" s="215" t="s">
        <v>138</v>
      </c>
      <c r="D7" s="211"/>
      <c r="E7" s="23" t="s">
        <v>139</v>
      </c>
    </row>
    <row r="8" spans="1:5" x14ac:dyDescent="0.25">
      <c r="A8" s="30" t="s">
        <v>136</v>
      </c>
      <c r="B8" s="30" t="s">
        <v>140</v>
      </c>
      <c r="C8" s="215" t="s">
        <v>141</v>
      </c>
      <c r="D8" s="211"/>
      <c r="E8" s="26"/>
    </row>
    <row r="9" spans="1:5" x14ac:dyDescent="0.25">
      <c r="A9" s="30" t="s">
        <v>142</v>
      </c>
      <c r="B9" s="30" t="s">
        <v>143</v>
      </c>
      <c r="C9" s="215" t="s">
        <v>144</v>
      </c>
      <c r="D9" s="211"/>
      <c r="E9" s="23" t="s">
        <v>145</v>
      </c>
    </row>
    <row r="10" spans="1:5" x14ac:dyDescent="0.25">
      <c r="A10" s="30" t="s">
        <v>142</v>
      </c>
      <c r="B10" s="30" t="s">
        <v>146</v>
      </c>
      <c r="C10" s="215" t="s">
        <v>147</v>
      </c>
      <c r="D10" s="211"/>
      <c r="E10" s="23" t="s">
        <v>148</v>
      </c>
    </row>
    <row r="11" spans="1:5" ht="16.5" customHeight="1" x14ac:dyDescent="0.25">
      <c r="A11" s="30" t="s">
        <v>142</v>
      </c>
      <c r="B11" s="30" t="s">
        <v>149</v>
      </c>
      <c r="C11" s="215" t="s">
        <v>150</v>
      </c>
      <c r="D11" s="211"/>
      <c r="E11" s="23" t="s">
        <v>151</v>
      </c>
    </row>
    <row r="12" spans="1:5" x14ac:dyDescent="0.25">
      <c r="A12" s="216" t="s">
        <v>152</v>
      </c>
      <c r="B12" s="209"/>
      <c r="C12" s="209"/>
      <c r="D12" s="209"/>
      <c r="E12" s="209"/>
    </row>
    <row r="13" spans="1:5" ht="30" customHeight="1" x14ac:dyDescent="0.25">
      <c r="A13" s="30" t="s">
        <v>50</v>
      </c>
      <c r="B13" s="30" t="s">
        <v>153</v>
      </c>
      <c r="C13" s="215" t="s">
        <v>154</v>
      </c>
      <c r="D13" s="211"/>
      <c r="E13" s="23" t="s">
        <v>155</v>
      </c>
    </row>
    <row r="14" spans="1:5" x14ac:dyDescent="0.25">
      <c r="A14" s="30" t="s">
        <v>50</v>
      </c>
      <c r="B14" s="30" t="s">
        <v>156</v>
      </c>
      <c r="C14" s="215" t="s">
        <v>157</v>
      </c>
      <c r="D14" s="211"/>
      <c r="E14" s="26"/>
    </row>
    <row r="15" spans="1:5" x14ac:dyDescent="0.25">
      <c r="A15" s="30" t="s">
        <v>50</v>
      </c>
      <c r="B15" s="30" t="s">
        <v>158</v>
      </c>
      <c r="C15" s="215" t="s">
        <v>159</v>
      </c>
      <c r="D15" s="211"/>
      <c r="E15" s="26"/>
    </row>
    <row r="16" spans="1:5" x14ac:dyDescent="0.25">
      <c r="A16" s="30" t="s">
        <v>50</v>
      </c>
      <c r="B16" s="30" t="s">
        <v>160</v>
      </c>
      <c r="C16" s="215" t="s">
        <v>161</v>
      </c>
      <c r="D16" s="211"/>
      <c r="E16" s="26"/>
    </row>
    <row r="17" spans="1:5" x14ac:dyDescent="0.25">
      <c r="A17" s="30" t="s">
        <v>50</v>
      </c>
      <c r="B17" s="30" t="s">
        <v>162</v>
      </c>
      <c r="C17" s="215" t="s">
        <v>163</v>
      </c>
      <c r="D17" s="211"/>
      <c r="E17" s="23" t="s">
        <v>164</v>
      </c>
    </row>
    <row r="18" spans="1:5" x14ac:dyDescent="0.25">
      <c r="A18" s="216" t="s">
        <v>165</v>
      </c>
      <c r="B18" s="209"/>
      <c r="C18" s="209"/>
      <c r="D18" s="209"/>
      <c r="E18" s="209"/>
    </row>
    <row r="19" spans="1:5" x14ac:dyDescent="0.25">
      <c r="A19" s="30" t="s">
        <v>68</v>
      </c>
      <c r="B19" s="30" t="s">
        <v>153</v>
      </c>
      <c r="C19" s="215" t="s">
        <v>166</v>
      </c>
      <c r="D19" s="211"/>
      <c r="E19" s="23" t="s">
        <v>167</v>
      </c>
    </row>
    <row r="20" spans="1:5" x14ac:dyDescent="0.25">
      <c r="A20" s="30" t="s">
        <v>68</v>
      </c>
      <c r="B20" s="30" t="s">
        <v>156</v>
      </c>
      <c r="C20" s="215" t="s">
        <v>168</v>
      </c>
      <c r="D20" s="211"/>
      <c r="E20" s="26"/>
    </row>
    <row r="21" spans="1:5" x14ac:dyDescent="0.25">
      <c r="A21" s="30" t="s">
        <v>68</v>
      </c>
      <c r="B21" s="30" t="s">
        <v>158</v>
      </c>
      <c r="C21" s="215" t="s">
        <v>168</v>
      </c>
      <c r="D21" s="211"/>
      <c r="E21" s="26"/>
    </row>
    <row r="22" spans="1:5" x14ac:dyDescent="0.25">
      <c r="A22" s="30" t="s">
        <v>68</v>
      </c>
      <c r="B22" s="30" t="s">
        <v>160</v>
      </c>
      <c r="C22" s="215" t="s">
        <v>169</v>
      </c>
      <c r="D22" s="211"/>
      <c r="E22" s="26"/>
    </row>
    <row r="23" spans="1:5" x14ac:dyDescent="0.25">
      <c r="A23" s="30" t="s">
        <v>68</v>
      </c>
      <c r="B23" s="30" t="s">
        <v>162</v>
      </c>
      <c r="C23" s="215" t="s">
        <v>170</v>
      </c>
      <c r="D23" s="211"/>
      <c r="E23" s="23" t="s">
        <v>164</v>
      </c>
    </row>
    <row r="24" spans="1:5" x14ac:dyDescent="0.25">
      <c r="A24" s="216" t="s">
        <v>171</v>
      </c>
      <c r="B24" s="209"/>
      <c r="C24" s="209"/>
      <c r="D24" s="209"/>
      <c r="E24" s="209"/>
    </row>
    <row r="25" spans="1:5" x14ac:dyDescent="0.25">
      <c r="A25" s="30" t="s">
        <v>172</v>
      </c>
      <c r="B25" s="30" t="s">
        <v>173</v>
      </c>
      <c r="C25" s="215" t="s">
        <v>174</v>
      </c>
      <c r="D25" s="211"/>
      <c r="E25" s="23" t="s">
        <v>175</v>
      </c>
    </row>
    <row r="26" spans="1:5" x14ac:dyDescent="0.25">
      <c r="A26" s="30" t="s">
        <v>172</v>
      </c>
      <c r="B26" s="30" t="s">
        <v>176</v>
      </c>
      <c r="C26" s="215" t="s">
        <v>177</v>
      </c>
      <c r="D26" s="211"/>
      <c r="E26" s="26"/>
    </row>
    <row r="27" spans="1:5" x14ac:dyDescent="0.25">
      <c r="A27" s="216" t="s">
        <v>178</v>
      </c>
      <c r="B27" s="209"/>
      <c r="C27" s="209"/>
      <c r="D27" s="209"/>
      <c r="E27" s="209"/>
    </row>
    <row r="28" spans="1:5" x14ac:dyDescent="0.25">
      <c r="A28" s="30" t="s">
        <v>179</v>
      </c>
      <c r="B28" s="30" t="s">
        <v>180</v>
      </c>
      <c r="C28" s="215" t="s">
        <v>181</v>
      </c>
      <c r="D28" s="211"/>
      <c r="E28" s="23" t="s">
        <v>182</v>
      </c>
    </row>
    <row r="29" spans="1:5" ht="18" customHeight="1" x14ac:dyDescent="0.25">
      <c r="A29" s="28" t="s">
        <v>183</v>
      </c>
      <c r="B29" s="31" t="s">
        <v>184</v>
      </c>
      <c r="C29" s="22" t="s">
        <v>185</v>
      </c>
      <c r="D29" s="22" t="s">
        <v>186</v>
      </c>
      <c r="E29" s="22" t="s">
        <v>116</v>
      </c>
    </row>
    <row r="30" spans="1:5" ht="21.95" customHeight="1" x14ac:dyDescent="0.25">
      <c r="A30" s="30" t="s">
        <v>50</v>
      </c>
      <c r="B30" s="32" t="s">
        <v>187</v>
      </c>
      <c r="C30" s="23" t="s">
        <v>188</v>
      </c>
      <c r="D30" s="23" t="s">
        <v>189</v>
      </c>
      <c r="E30" s="23" t="s">
        <v>190</v>
      </c>
    </row>
    <row r="31" spans="1:5" ht="21.95" customHeight="1" x14ac:dyDescent="0.25">
      <c r="A31" s="30" t="s">
        <v>68</v>
      </c>
      <c r="B31" s="32" t="s">
        <v>187</v>
      </c>
      <c r="C31" s="23" t="s">
        <v>188</v>
      </c>
      <c r="D31" s="23" t="s">
        <v>191</v>
      </c>
      <c r="E31" s="23" t="s">
        <v>192</v>
      </c>
    </row>
    <row r="32" spans="1:5" ht="21.95" customHeight="1" x14ac:dyDescent="0.25">
      <c r="A32" s="30" t="s">
        <v>50</v>
      </c>
      <c r="B32" s="32" t="s">
        <v>193</v>
      </c>
      <c r="C32" s="23" t="s">
        <v>194</v>
      </c>
      <c r="D32" s="23" t="s">
        <v>195</v>
      </c>
      <c r="E32" s="23" t="s">
        <v>196</v>
      </c>
    </row>
    <row r="33" spans="1:5" ht="21.95" customHeight="1" x14ac:dyDescent="0.25">
      <c r="A33" s="30" t="s">
        <v>50</v>
      </c>
      <c r="B33" s="32" t="s">
        <v>197</v>
      </c>
      <c r="C33" s="23" t="s">
        <v>198</v>
      </c>
      <c r="D33" s="23" t="s">
        <v>199</v>
      </c>
      <c r="E33" s="23" t="s">
        <v>200</v>
      </c>
    </row>
    <row r="34" spans="1:5" ht="34.5" customHeight="1" x14ac:dyDescent="0.25">
      <c r="A34" s="30" t="s">
        <v>68</v>
      </c>
      <c r="B34" s="32" t="s">
        <v>201</v>
      </c>
      <c r="C34" s="23" t="s">
        <v>202</v>
      </c>
      <c r="D34" s="23" t="s">
        <v>203</v>
      </c>
      <c r="E34" s="23" t="s">
        <v>204</v>
      </c>
    </row>
  </sheetData>
  <mergeCells count="28">
    <mergeCell ref="A6:E6"/>
    <mergeCell ref="A1:E1"/>
    <mergeCell ref="C2:D2"/>
    <mergeCell ref="A3:E3"/>
    <mergeCell ref="C4:D4"/>
    <mergeCell ref="C5:D5"/>
    <mergeCell ref="A18:E18"/>
    <mergeCell ref="C7:D7"/>
    <mergeCell ref="C8:D8"/>
    <mergeCell ref="C9:D9"/>
    <mergeCell ref="C10:D10"/>
    <mergeCell ref="C11:D11"/>
    <mergeCell ref="A12:E12"/>
    <mergeCell ref="C13:D13"/>
    <mergeCell ref="C14:D14"/>
    <mergeCell ref="C15:D15"/>
    <mergeCell ref="C16:D16"/>
    <mergeCell ref="C17:D17"/>
    <mergeCell ref="C25:D25"/>
    <mergeCell ref="C26:D26"/>
    <mergeCell ref="A27:E27"/>
    <mergeCell ref="C28:D28"/>
    <mergeCell ref="C19:D19"/>
    <mergeCell ref="C20:D20"/>
    <mergeCell ref="C21:D21"/>
    <mergeCell ref="C22:D22"/>
    <mergeCell ref="C23:D23"/>
    <mergeCell ref="A24:E24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4E90F-BAFF-4CF7-A3C3-24E902D3B630}">
  <dimension ref="A1:O1206"/>
  <sheetViews>
    <sheetView zoomScale="85" zoomScaleNormal="85" workbookViewId="0">
      <pane ySplit="2" topLeftCell="A3" activePane="bottomLeft" state="frozen"/>
      <selection activeCell="B1" sqref="B1"/>
      <selection pane="bottomLeft" activeCell="N58" sqref="N58"/>
    </sheetView>
  </sheetViews>
  <sheetFormatPr defaultRowHeight="15" x14ac:dyDescent="0.25"/>
  <cols>
    <col min="1" max="1" width="16.7109375" customWidth="1"/>
    <col min="2" max="2" width="20.42578125" customWidth="1"/>
    <col min="3" max="3" width="12.7109375" bestFit="1" customWidth="1"/>
    <col min="4" max="4" width="18" customWidth="1"/>
    <col min="5" max="5" width="14.5703125" customWidth="1"/>
    <col min="6" max="6" width="14.7109375" customWidth="1"/>
    <col min="7" max="7" width="57.5703125" bestFit="1" customWidth="1"/>
    <col min="8" max="8" width="21.85546875" customWidth="1"/>
    <col min="9" max="9" width="17.28515625" style="39" customWidth="1"/>
    <col min="10" max="10" width="18.42578125" bestFit="1" customWidth="1"/>
    <col min="11" max="11" width="12.7109375" customWidth="1"/>
    <col min="12" max="12" width="10.7109375" customWidth="1"/>
    <col min="13" max="13" width="68" bestFit="1" customWidth="1"/>
    <col min="14" max="14" width="37.5703125" customWidth="1"/>
    <col min="15" max="15" width="34.7109375" customWidth="1"/>
    <col min="16" max="16" width="4.28515625" customWidth="1"/>
  </cols>
  <sheetData>
    <row r="1" spans="1:15" ht="20.100000000000001" customHeight="1" x14ac:dyDescent="0.25">
      <c r="A1" s="151" t="s">
        <v>46</v>
      </c>
      <c r="B1" s="151" t="s">
        <v>228</v>
      </c>
      <c r="C1" s="151"/>
      <c r="D1" s="151"/>
      <c r="E1" s="151"/>
      <c r="F1" s="151"/>
      <c r="G1" s="151"/>
      <c r="H1" s="151"/>
      <c r="I1" s="151"/>
      <c r="J1" s="152" t="s">
        <v>227</v>
      </c>
      <c r="K1" s="152"/>
      <c r="L1" s="152"/>
      <c r="M1" s="152"/>
      <c r="N1" s="152"/>
      <c r="O1" s="153"/>
    </row>
    <row r="2" spans="1:15" ht="20.100000000000001" customHeight="1" x14ac:dyDescent="0.25">
      <c r="A2" s="154"/>
      <c r="B2" s="43" t="s">
        <v>0</v>
      </c>
      <c r="C2" s="44" t="s">
        <v>1</v>
      </c>
      <c r="D2" s="45" t="s">
        <v>47</v>
      </c>
      <c r="E2" s="46" t="s">
        <v>2</v>
      </c>
      <c r="F2" s="46" t="s">
        <v>3</v>
      </c>
      <c r="G2" s="46" t="s">
        <v>4</v>
      </c>
      <c r="H2" s="46" t="s">
        <v>48</v>
      </c>
      <c r="I2" s="47" t="s">
        <v>49</v>
      </c>
      <c r="J2" s="45" t="s">
        <v>5</v>
      </c>
      <c r="K2" s="46" t="s">
        <v>2</v>
      </c>
      <c r="L2" s="46" t="s">
        <v>3</v>
      </c>
      <c r="M2" s="46" t="s">
        <v>4</v>
      </c>
      <c r="N2" s="46" t="s">
        <v>48</v>
      </c>
      <c r="O2" s="47" t="s">
        <v>49</v>
      </c>
    </row>
    <row r="3" spans="1:15" ht="20.100000000000001" customHeight="1" x14ac:dyDescent="0.25">
      <c r="A3" s="164" t="s">
        <v>222</v>
      </c>
      <c r="B3" s="167" t="s">
        <v>6</v>
      </c>
      <c r="C3" s="158" t="s">
        <v>207</v>
      </c>
      <c r="D3" s="48" t="s">
        <v>50</v>
      </c>
      <c r="E3" s="49" t="s">
        <v>12</v>
      </c>
      <c r="F3" s="50">
        <v>2</v>
      </c>
      <c r="G3" s="51" t="s">
        <v>51</v>
      </c>
      <c r="H3" s="49" t="s">
        <v>52</v>
      </c>
      <c r="I3" s="52" t="s">
        <v>53</v>
      </c>
      <c r="J3" s="48" t="s">
        <v>8</v>
      </c>
      <c r="K3" s="49" t="s">
        <v>9</v>
      </c>
      <c r="L3" s="53">
        <v>1</v>
      </c>
      <c r="M3" s="54" t="s">
        <v>54</v>
      </c>
      <c r="N3" s="49" t="s">
        <v>53</v>
      </c>
      <c r="O3" s="55" t="s">
        <v>7</v>
      </c>
    </row>
    <row r="4" spans="1:15" ht="20.100000000000001" customHeight="1" x14ac:dyDescent="0.25">
      <c r="A4" s="165"/>
      <c r="B4" s="168"/>
      <c r="C4" s="159"/>
      <c r="D4" s="56"/>
      <c r="E4" s="57"/>
      <c r="F4" s="53"/>
      <c r="G4" s="58"/>
      <c r="H4" s="57"/>
      <c r="I4" s="59"/>
      <c r="J4" s="56" t="s">
        <v>10</v>
      </c>
      <c r="K4" s="57" t="s">
        <v>9</v>
      </c>
      <c r="L4" s="53">
        <v>1</v>
      </c>
      <c r="M4" s="60" t="s">
        <v>232</v>
      </c>
      <c r="N4" s="57" t="s">
        <v>11</v>
      </c>
      <c r="O4" s="61" t="s">
        <v>26</v>
      </c>
    </row>
    <row r="5" spans="1:15" ht="20.100000000000001" customHeight="1" x14ac:dyDescent="0.25">
      <c r="A5" s="165"/>
      <c r="B5" s="168"/>
      <c r="C5" s="159"/>
      <c r="D5" s="56"/>
      <c r="E5" s="57"/>
      <c r="F5" s="53"/>
      <c r="G5" s="58"/>
      <c r="H5" s="57"/>
      <c r="I5" s="59"/>
      <c r="J5" s="56" t="s">
        <v>216</v>
      </c>
      <c r="K5" s="57" t="s">
        <v>220</v>
      </c>
      <c r="L5" s="53">
        <v>2</v>
      </c>
      <c r="M5" s="60" t="s">
        <v>229</v>
      </c>
      <c r="N5" s="63" t="s">
        <v>13</v>
      </c>
      <c r="O5" s="66" t="s">
        <v>266</v>
      </c>
    </row>
    <row r="6" spans="1:15" ht="20.100000000000001" customHeight="1" x14ac:dyDescent="0.25">
      <c r="A6" s="165"/>
      <c r="B6" s="168"/>
      <c r="C6" s="159"/>
      <c r="D6" s="56"/>
      <c r="E6" s="57"/>
      <c r="F6" s="53"/>
      <c r="G6" s="58"/>
      <c r="H6" s="57"/>
      <c r="I6" s="59"/>
      <c r="J6" s="62" t="s">
        <v>217</v>
      </c>
      <c r="K6" s="63" t="s">
        <v>268</v>
      </c>
      <c r="L6" s="64">
        <v>4</v>
      </c>
      <c r="M6" s="65" t="s">
        <v>233</v>
      </c>
      <c r="N6" s="63" t="s">
        <v>15</v>
      </c>
      <c r="O6" s="66" t="s">
        <v>267</v>
      </c>
    </row>
    <row r="7" spans="1:15" ht="20.100000000000001" customHeight="1" x14ac:dyDescent="0.25">
      <c r="A7" s="165"/>
      <c r="B7" s="168"/>
      <c r="C7" s="159"/>
      <c r="D7" s="56"/>
      <c r="E7" s="57"/>
      <c r="F7" s="53"/>
      <c r="G7" s="58"/>
      <c r="H7" s="57"/>
      <c r="I7" s="59"/>
      <c r="J7" s="62" t="s">
        <v>219</v>
      </c>
      <c r="K7" s="63" t="s">
        <v>220</v>
      </c>
      <c r="L7" s="64">
        <v>2</v>
      </c>
      <c r="M7" s="65" t="s">
        <v>221</v>
      </c>
      <c r="N7" s="63" t="s">
        <v>13</v>
      </c>
      <c r="O7" s="66" t="s">
        <v>266</v>
      </c>
    </row>
    <row r="8" spans="1:15" ht="20.100000000000001" customHeight="1" x14ac:dyDescent="0.25">
      <c r="A8" s="165"/>
      <c r="B8" s="168"/>
      <c r="C8" s="159"/>
      <c r="D8" s="56"/>
      <c r="E8" s="57"/>
      <c r="F8" s="53"/>
      <c r="G8" s="58"/>
      <c r="H8" s="57"/>
      <c r="I8" s="59"/>
      <c r="J8" s="62" t="s">
        <v>218</v>
      </c>
      <c r="K8" s="63" t="s">
        <v>268</v>
      </c>
      <c r="L8" s="64">
        <v>4</v>
      </c>
      <c r="M8" s="65" t="s">
        <v>234</v>
      </c>
      <c r="N8" s="63" t="s">
        <v>15</v>
      </c>
      <c r="O8" s="66" t="s">
        <v>267</v>
      </c>
    </row>
    <row r="9" spans="1:15" ht="20.100000000000001" customHeight="1" x14ac:dyDescent="0.25">
      <c r="A9" s="165"/>
      <c r="B9" s="168"/>
      <c r="C9" s="159"/>
      <c r="D9" s="56"/>
      <c r="E9" s="57"/>
      <c r="F9" s="53"/>
      <c r="G9" s="58"/>
      <c r="H9" s="57"/>
      <c r="I9" s="59"/>
      <c r="J9" s="56" t="s">
        <v>225</v>
      </c>
      <c r="K9" s="57" t="s">
        <v>12</v>
      </c>
      <c r="L9" s="53">
        <v>2</v>
      </c>
      <c r="M9" s="60" t="s">
        <v>235</v>
      </c>
      <c r="N9" s="57" t="s">
        <v>13</v>
      </c>
      <c r="O9" s="61" t="s">
        <v>55</v>
      </c>
    </row>
    <row r="10" spans="1:15" ht="20.100000000000001" customHeight="1" x14ac:dyDescent="0.25">
      <c r="A10" s="165"/>
      <c r="B10" s="168"/>
      <c r="C10" s="159"/>
      <c r="D10" s="56"/>
      <c r="E10" s="57"/>
      <c r="F10" s="53"/>
      <c r="G10" s="58"/>
      <c r="H10" s="57"/>
      <c r="I10" s="59"/>
      <c r="J10" s="56" t="s">
        <v>226</v>
      </c>
      <c r="K10" s="57" t="s">
        <v>12</v>
      </c>
      <c r="L10" s="53">
        <v>2</v>
      </c>
      <c r="M10" s="60" t="s">
        <v>236</v>
      </c>
      <c r="N10" s="57" t="s">
        <v>13</v>
      </c>
      <c r="O10" s="61" t="s">
        <v>55</v>
      </c>
    </row>
    <row r="11" spans="1:15" ht="20.100000000000001" customHeight="1" x14ac:dyDescent="0.25">
      <c r="A11" s="165"/>
      <c r="B11" s="168"/>
      <c r="C11" s="159"/>
      <c r="D11" s="56"/>
      <c r="E11" s="57"/>
      <c r="F11" s="53"/>
      <c r="G11" s="58"/>
      <c r="H11" s="57"/>
      <c r="I11" s="59"/>
      <c r="J11" s="56" t="s">
        <v>16</v>
      </c>
      <c r="K11" s="57" t="s">
        <v>17</v>
      </c>
      <c r="L11" s="53">
        <v>1</v>
      </c>
      <c r="M11" s="60" t="s">
        <v>237</v>
      </c>
      <c r="N11" s="57" t="s">
        <v>18</v>
      </c>
      <c r="O11" s="61" t="s">
        <v>56</v>
      </c>
    </row>
    <row r="12" spans="1:15" ht="20.100000000000001" customHeight="1" x14ac:dyDescent="0.25">
      <c r="A12" s="165"/>
      <c r="B12" s="168"/>
      <c r="C12" s="159"/>
      <c r="D12" s="56"/>
      <c r="E12" s="57"/>
      <c r="F12" s="53"/>
      <c r="G12" s="58"/>
      <c r="H12" s="57"/>
      <c r="I12" s="59"/>
      <c r="J12" s="56" t="s">
        <v>19</v>
      </c>
      <c r="K12" s="57" t="s">
        <v>17</v>
      </c>
      <c r="L12" s="53">
        <v>1</v>
      </c>
      <c r="M12" s="60" t="s">
        <v>238</v>
      </c>
      <c r="N12" s="57" t="s">
        <v>18</v>
      </c>
      <c r="O12" s="61" t="s">
        <v>56</v>
      </c>
    </row>
    <row r="13" spans="1:15" ht="20.100000000000001" customHeight="1" x14ac:dyDescent="0.25">
      <c r="A13" s="165"/>
      <c r="B13" s="168"/>
      <c r="C13" s="159"/>
      <c r="D13" s="56"/>
      <c r="E13" s="57"/>
      <c r="F13" s="53"/>
      <c r="G13" s="58"/>
      <c r="H13" s="57"/>
      <c r="I13" s="59"/>
      <c r="J13" s="56" t="s">
        <v>20</v>
      </c>
      <c r="K13" s="57" t="s">
        <v>17</v>
      </c>
      <c r="L13" s="53">
        <v>1</v>
      </c>
      <c r="M13" s="60" t="s">
        <v>239</v>
      </c>
      <c r="N13" s="57" t="s">
        <v>18</v>
      </c>
      <c r="O13" s="61" t="s">
        <v>56</v>
      </c>
    </row>
    <row r="14" spans="1:15" ht="20.100000000000001" customHeight="1" x14ac:dyDescent="0.25">
      <c r="A14" s="165"/>
      <c r="B14" s="168"/>
      <c r="C14" s="159"/>
      <c r="D14" s="56"/>
      <c r="E14" s="57"/>
      <c r="F14" s="53"/>
      <c r="G14" s="58"/>
      <c r="H14" s="57"/>
      <c r="I14" s="59"/>
      <c r="J14" s="56" t="s">
        <v>21</v>
      </c>
      <c r="K14" s="57" t="s">
        <v>17</v>
      </c>
      <c r="L14" s="53">
        <v>1</v>
      </c>
      <c r="M14" s="60" t="s">
        <v>21</v>
      </c>
      <c r="N14" s="57" t="s">
        <v>18</v>
      </c>
      <c r="O14" s="61" t="s">
        <v>56</v>
      </c>
    </row>
    <row r="15" spans="1:15" ht="20.100000000000001" customHeight="1" x14ac:dyDescent="0.25">
      <c r="A15" s="165"/>
      <c r="B15" s="168"/>
      <c r="C15" s="159"/>
      <c r="D15" s="56"/>
      <c r="E15" s="57"/>
      <c r="F15" s="53"/>
      <c r="G15" s="58"/>
      <c r="H15" s="57"/>
      <c r="I15" s="59"/>
      <c r="J15" s="56" t="s">
        <v>22</v>
      </c>
      <c r="K15" s="57" t="s">
        <v>9</v>
      </c>
      <c r="L15" s="53">
        <v>1</v>
      </c>
      <c r="M15" s="60" t="s">
        <v>240</v>
      </c>
      <c r="N15" s="57" t="s">
        <v>23</v>
      </c>
      <c r="O15" s="61" t="s">
        <v>57</v>
      </c>
    </row>
    <row r="16" spans="1:15" ht="20.100000000000001" customHeight="1" x14ac:dyDescent="0.25">
      <c r="A16" s="165"/>
      <c r="B16" s="168"/>
      <c r="C16" s="159"/>
      <c r="D16" s="56"/>
      <c r="E16" s="57"/>
      <c r="F16" s="53"/>
      <c r="G16" s="58"/>
      <c r="H16" s="57"/>
      <c r="I16" s="59"/>
      <c r="J16" s="62" t="s">
        <v>50</v>
      </c>
      <c r="K16" s="63" t="s">
        <v>12</v>
      </c>
      <c r="L16" s="64">
        <v>2</v>
      </c>
      <c r="M16" s="65" t="s">
        <v>51</v>
      </c>
      <c r="N16" s="63" t="s">
        <v>52</v>
      </c>
      <c r="O16" s="66" t="s">
        <v>53</v>
      </c>
    </row>
    <row r="17" spans="1:15" ht="20.100000000000001" customHeight="1" x14ac:dyDescent="0.25">
      <c r="A17" s="165"/>
      <c r="B17" s="169"/>
      <c r="C17" s="160"/>
      <c r="D17" s="67"/>
      <c r="E17" s="68"/>
      <c r="F17" s="69"/>
      <c r="G17" s="70" t="s">
        <v>241</v>
      </c>
      <c r="H17" s="71">
        <f>SUM(F3:F16) + 1</f>
        <v>3</v>
      </c>
      <c r="I17" s="72" t="s">
        <v>53</v>
      </c>
      <c r="J17" s="67"/>
      <c r="K17" s="68"/>
      <c r="L17" s="69"/>
      <c r="M17" s="73" t="s">
        <v>241</v>
      </c>
      <c r="N17" s="71">
        <f>SUM(L3:L16)</f>
        <v>25</v>
      </c>
      <c r="O17" s="74"/>
    </row>
    <row r="18" spans="1:15" ht="20.100000000000001" customHeight="1" x14ac:dyDescent="0.25">
      <c r="A18" s="165"/>
      <c r="B18" s="170" t="s">
        <v>242</v>
      </c>
      <c r="C18" s="155" t="s">
        <v>24</v>
      </c>
      <c r="D18" s="81" t="s">
        <v>269</v>
      </c>
      <c r="E18" s="76" t="s">
        <v>9</v>
      </c>
      <c r="F18" s="77">
        <v>1</v>
      </c>
      <c r="G18" s="42" t="s">
        <v>231</v>
      </c>
      <c r="H18" s="76" t="s">
        <v>223</v>
      </c>
      <c r="I18" s="78" t="s">
        <v>224</v>
      </c>
      <c r="J18" s="75" t="s">
        <v>8</v>
      </c>
      <c r="K18" s="76" t="s">
        <v>9</v>
      </c>
      <c r="L18" s="77">
        <v>1</v>
      </c>
      <c r="M18" s="79" t="s">
        <v>54</v>
      </c>
      <c r="N18" s="76" t="s">
        <v>53</v>
      </c>
      <c r="O18" s="80" t="s">
        <v>24</v>
      </c>
    </row>
    <row r="19" spans="1:15" ht="20.100000000000001" customHeight="1" x14ac:dyDescent="0.25">
      <c r="A19" s="165"/>
      <c r="B19" s="168"/>
      <c r="C19" s="156"/>
      <c r="D19" s="81" t="s">
        <v>270</v>
      </c>
      <c r="E19" s="82" t="s">
        <v>9</v>
      </c>
      <c r="F19" s="83">
        <v>1</v>
      </c>
      <c r="G19" s="84" t="s">
        <v>271</v>
      </c>
      <c r="H19" s="82" t="s">
        <v>230</v>
      </c>
      <c r="I19" s="85" t="s">
        <v>275</v>
      </c>
      <c r="J19" s="81" t="s">
        <v>25</v>
      </c>
      <c r="K19" s="82" t="s">
        <v>9</v>
      </c>
      <c r="L19" s="83">
        <v>1</v>
      </c>
      <c r="M19" s="86" t="s">
        <v>243</v>
      </c>
      <c r="N19" s="82" t="s">
        <v>58</v>
      </c>
      <c r="O19" s="87" t="s">
        <v>26</v>
      </c>
    </row>
    <row r="20" spans="1:15" ht="20.100000000000001" customHeight="1" x14ac:dyDescent="0.25">
      <c r="A20" s="165"/>
      <c r="B20" s="168"/>
      <c r="C20" s="156"/>
      <c r="D20" s="81" t="s">
        <v>50</v>
      </c>
      <c r="E20" s="82" t="s">
        <v>12</v>
      </c>
      <c r="F20" s="83">
        <v>2</v>
      </c>
      <c r="G20" s="84" t="s">
        <v>51</v>
      </c>
      <c r="H20" s="82" t="s">
        <v>52</v>
      </c>
      <c r="I20" s="85" t="s">
        <v>53</v>
      </c>
      <c r="J20" s="81" t="s">
        <v>50</v>
      </c>
      <c r="K20" s="82" t="s">
        <v>12</v>
      </c>
      <c r="L20" s="83">
        <v>2</v>
      </c>
      <c r="M20" s="86" t="s">
        <v>51</v>
      </c>
      <c r="N20" s="82" t="s">
        <v>52</v>
      </c>
      <c r="O20" s="87" t="s">
        <v>53</v>
      </c>
    </row>
    <row r="21" spans="1:15" ht="20.100000000000001" customHeight="1" x14ac:dyDescent="0.25">
      <c r="A21" s="165"/>
      <c r="B21" s="171"/>
      <c r="C21" s="157"/>
      <c r="D21" s="88"/>
      <c r="E21" s="89"/>
      <c r="F21" s="90"/>
      <c r="G21" s="91" t="s">
        <v>241</v>
      </c>
      <c r="H21" s="92">
        <f>SUM(F18:F20) + 1</f>
        <v>5</v>
      </c>
      <c r="I21" s="93" t="s">
        <v>53</v>
      </c>
      <c r="J21" s="88"/>
      <c r="K21" s="89"/>
      <c r="L21" s="90"/>
      <c r="M21" s="94" t="s">
        <v>241</v>
      </c>
      <c r="N21" s="92">
        <f>SUM(L18:L20)</f>
        <v>4</v>
      </c>
      <c r="O21" s="95"/>
    </row>
    <row r="22" spans="1:15" ht="20.100000000000001" customHeight="1" x14ac:dyDescent="0.25">
      <c r="A22" s="165"/>
      <c r="B22" s="172" t="s">
        <v>244</v>
      </c>
      <c r="C22" s="158" t="s">
        <v>27</v>
      </c>
      <c r="D22" s="96" t="s">
        <v>269</v>
      </c>
      <c r="E22" s="97" t="s">
        <v>9</v>
      </c>
      <c r="F22" s="98">
        <v>1</v>
      </c>
      <c r="G22" s="99" t="s">
        <v>272</v>
      </c>
      <c r="H22" s="97" t="s">
        <v>223</v>
      </c>
      <c r="I22" s="100" t="s">
        <v>224</v>
      </c>
      <c r="J22" s="48" t="s">
        <v>8</v>
      </c>
      <c r="K22" s="49" t="s">
        <v>9</v>
      </c>
      <c r="L22" s="50">
        <v>1</v>
      </c>
      <c r="M22" s="54" t="s">
        <v>54</v>
      </c>
      <c r="N22" s="49" t="s">
        <v>53</v>
      </c>
      <c r="O22" s="55" t="s">
        <v>27</v>
      </c>
    </row>
    <row r="23" spans="1:15" ht="20.100000000000001" customHeight="1" x14ac:dyDescent="0.25">
      <c r="A23" s="165"/>
      <c r="B23" s="173"/>
      <c r="C23" s="179"/>
      <c r="D23" s="101" t="s">
        <v>270</v>
      </c>
      <c r="E23" s="102" t="s">
        <v>273</v>
      </c>
      <c r="F23" s="103">
        <v>1</v>
      </c>
      <c r="G23" s="104" t="s">
        <v>274</v>
      </c>
      <c r="H23" s="102" t="s">
        <v>11</v>
      </c>
      <c r="I23" s="105" t="s">
        <v>59</v>
      </c>
      <c r="J23" s="101" t="s">
        <v>269</v>
      </c>
      <c r="K23" s="102" t="s">
        <v>273</v>
      </c>
      <c r="L23" s="103">
        <v>1</v>
      </c>
      <c r="M23" s="142" t="s">
        <v>289</v>
      </c>
      <c r="N23" s="102" t="s">
        <v>223</v>
      </c>
      <c r="O23" s="143" t="s">
        <v>224</v>
      </c>
    </row>
    <row r="24" spans="1:15" ht="20.100000000000001" customHeight="1" x14ac:dyDescent="0.25">
      <c r="A24" s="165"/>
      <c r="B24" s="173"/>
      <c r="C24" s="179"/>
      <c r="D24" s="56" t="s">
        <v>50</v>
      </c>
      <c r="E24" s="57" t="s">
        <v>12</v>
      </c>
      <c r="F24" s="53">
        <v>2</v>
      </c>
      <c r="G24" s="58" t="s">
        <v>51</v>
      </c>
      <c r="H24" s="57" t="s">
        <v>52</v>
      </c>
      <c r="I24" s="59" t="s">
        <v>53</v>
      </c>
      <c r="J24" s="56" t="s">
        <v>278</v>
      </c>
      <c r="K24" s="57" t="s">
        <v>9</v>
      </c>
      <c r="L24" s="53">
        <v>1</v>
      </c>
      <c r="M24" s="60" t="s">
        <v>279</v>
      </c>
      <c r="N24" s="57" t="s">
        <v>11</v>
      </c>
      <c r="O24" s="61" t="s">
        <v>59</v>
      </c>
    </row>
    <row r="25" spans="1:15" ht="20.100000000000001" customHeight="1" x14ac:dyDescent="0.25">
      <c r="A25" s="165"/>
      <c r="B25" s="173"/>
      <c r="C25" s="179"/>
      <c r="D25" s="137"/>
      <c r="E25" s="138"/>
      <c r="F25" s="139"/>
      <c r="G25" s="140"/>
      <c r="H25" s="138"/>
      <c r="I25" s="141"/>
      <c r="J25" s="56" t="s">
        <v>280</v>
      </c>
      <c r="K25" s="57" t="s">
        <v>220</v>
      </c>
      <c r="L25" s="53">
        <v>2</v>
      </c>
      <c r="M25" s="60" t="s">
        <v>281</v>
      </c>
      <c r="N25" s="57" t="s">
        <v>282</v>
      </c>
      <c r="O25" s="61" t="s">
        <v>283</v>
      </c>
    </row>
    <row r="26" spans="1:15" ht="20.100000000000001" customHeight="1" x14ac:dyDescent="0.25">
      <c r="A26" s="165"/>
      <c r="B26" s="174"/>
      <c r="C26" s="159"/>
      <c r="J26" s="56" t="s">
        <v>29</v>
      </c>
      <c r="K26" s="57" t="s">
        <v>9</v>
      </c>
      <c r="L26" s="53">
        <v>1</v>
      </c>
      <c r="M26" s="60" t="s">
        <v>245</v>
      </c>
      <c r="N26" s="57" t="s">
        <v>60</v>
      </c>
      <c r="O26" s="61" t="s">
        <v>45</v>
      </c>
    </row>
    <row r="27" spans="1:15" ht="20.100000000000001" customHeight="1" x14ac:dyDescent="0.25">
      <c r="A27" s="165"/>
      <c r="B27" s="174"/>
      <c r="C27" s="159"/>
      <c r="J27" s="56" t="s">
        <v>208</v>
      </c>
      <c r="K27" s="57" t="s">
        <v>14</v>
      </c>
      <c r="L27" s="53">
        <v>4</v>
      </c>
      <c r="M27" s="60" t="s">
        <v>209</v>
      </c>
      <c r="N27" s="57" t="s">
        <v>69</v>
      </c>
      <c r="O27" s="61" t="s">
        <v>210</v>
      </c>
    </row>
    <row r="28" spans="1:15" ht="20.100000000000001" customHeight="1" x14ac:dyDescent="0.25">
      <c r="A28" s="165"/>
      <c r="B28" s="174"/>
      <c r="C28" s="159"/>
      <c r="D28" s="56"/>
      <c r="E28" s="57"/>
      <c r="F28" s="53"/>
      <c r="G28" s="58"/>
      <c r="H28" s="57"/>
      <c r="I28" s="59"/>
      <c r="J28" s="56" t="s">
        <v>50</v>
      </c>
      <c r="K28" s="57" t="s">
        <v>12</v>
      </c>
      <c r="L28" s="53">
        <v>2</v>
      </c>
      <c r="M28" s="60" t="s">
        <v>51</v>
      </c>
      <c r="N28" s="57" t="s">
        <v>52</v>
      </c>
      <c r="O28" s="61" t="s">
        <v>53</v>
      </c>
    </row>
    <row r="29" spans="1:15" ht="20.100000000000001" customHeight="1" x14ac:dyDescent="0.25">
      <c r="A29" s="165"/>
      <c r="B29" s="175"/>
      <c r="C29" s="160"/>
      <c r="D29" s="67"/>
      <c r="E29" s="68"/>
      <c r="F29" s="69"/>
      <c r="G29" s="70" t="s">
        <v>241</v>
      </c>
      <c r="H29" s="71">
        <f>SUM(F22:F25) + 1</f>
        <v>5</v>
      </c>
      <c r="I29" s="72" t="s">
        <v>53</v>
      </c>
      <c r="J29" s="67"/>
      <c r="K29" s="68"/>
      <c r="L29" s="69"/>
      <c r="M29" s="73" t="s">
        <v>241</v>
      </c>
      <c r="N29" s="71">
        <f>SUM(L22:L28)</f>
        <v>12</v>
      </c>
      <c r="O29" s="74"/>
    </row>
    <row r="30" spans="1:15" ht="20.100000000000001" customHeight="1" x14ac:dyDescent="0.25">
      <c r="A30" s="165"/>
      <c r="B30" s="170" t="s">
        <v>246</v>
      </c>
      <c r="C30" s="161" t="s">
        <v>30</v>
      </c>
      <c r="D30" s="106" t="s">
        <v>269</v>
      </c>
      <c r="E30" s="76" t="s">
        <v>9</v>
      </c>
      <c r="F30" s="77">
        <v>1</v>
      </c>
      <c r="G30" s="42" t="s">
        <v>272</v>
      </c>
      <c r="H30" s="76" t="s">
        <v>223</v>
      </c>
      <c r="I30" s="78" t="s">
        <v>224</v>
      </c>
      <c r="J30" s="75" t="s">
        <v>8</v>
      </c>
      <c r="K30" s="76" t="s">
        <v>9</v>
      </c>
      <c r="L30" s="77">
        <v>1</v>
      </c>
      <c r="M30" s="79" t="s">
        <v>54</v>
      </c>
      <c r="N30" s="76" t="s">
        <v>53</v>
      </c>
      <c r="O30" s="80" t="s">
        <v>30</v>
      </c>
    </row>
    <row r="31" spans="1:15" ht="20.100000000000001" customHeight="1" x14ac:dyDescent="0.25">
      <c r="A31" s="165"/>
      <c r="B31" s="170"/>
      <c r="C31" s="161"/>
      <c r="D31" s="107" t="s">
        <v>28</v>
      </c>
      <c r="E31" s="82" t="s">
        <v>9</v>
      </c>
      <c r="F31" s="83">
        <v>1</v>
      </c>
      <c r="G31" s="84" t="s">
        <v>274</v>
      </c>
      <c r="H31" s="82" t="s">
        <v>230</v>
      </c>
      <c r="I31" s="85" t="s">
        <v>61</v>
      </c>
      <c r="J31" s="81" t="s">
        <v>269</v>
      </c>
      <c r="K31" s="82" t="s">
        <v>9</v>
      </c>
      <c r="L31" s="83">
        <v>1</v>
      </c>
      <c r="M31" s="86" t="s">
        <v>288</v>
      </c>
      <c r="N31" s="82" t="s">
        <v>223</v>
      </c>
      <c r="O31" s="87" t="s">
        <v>224</v>
      </c>
    </row>
    <row r="32" spans="1:15" ht="20.100000000000001" customHeight="1" x14ac:dyDescent="0.25">
      <c r="A32" s="165"/>
      <c r="B32" s="168"/>
      <c r="C32" s="162"/>
      <c r="D32" s="107" t="s">
        <v>284</v>
      </c>
      <c r="E32" s="82" t="s">
        <v>12</v>
      </c>
      <c r="F32" s="83">
        <v>2</v>
      </c>
      <c r="G32" s="84" t="s">
        <v>285</v>
      </c>
      <c r="H32" s="82" t="s">
        <v>62</v>
      </c>
      <c r="I32" s="85" t="s">
        <v>63</v>
      </c>
      <c r="J32" s="81" t="s">
        <v>28</v>
      </c>
      <c r="K32" s="82" t="s">
        <v>273</v>
      </c>
      <c r="L32" s="83">
        <v>1</v>
      </c>
      <c r="M32" s="86" t="s">
        <v>286</v>
      </c>
      <c r="N32" s="82" t="s">
        <v>230</v>
      </c>
      <c r="O32" s="87" t="s">
        <v>64</v>
      </c>
    </row>
    <row r="33" spans="1:15" ht="20.100000000000001" customHeight="1" x14ac:dyDescent="0.25">
      <c r="A33" s="165"/>
      <c r="B33" s="168"/>
      <c r="C33" s="162"/>
      <c r="D33" s="107" t="s">
        <v>50</v>
      </c>
      <c r="E33" s="82" t="s">
        <v>12</v>
      </c>
      <c r="F33" s="83">
        <v>2</v>
      </c>
      <c r="G33" s="84" t="s">
        <v>51</v>
      </c>
      <c r="H33" s="82" t="s">
        <v>52</v>
      </c>
      <c r="I33" s="85" t="s">
        <v>53</v>
      </c>
      <c r="J33" s="81" t="s">
        <v>284</v>
      </c>
      <c r="K33" s="82" t="s">
        <v>12</v>
      </c>
      <c r="L33" s="83">
        <v>2</v>
      </c>
      <c r="M33" s="86" t="s">
        <v>287</v>
      </c>
      <c r="N33" s="82" t="s">
        <v>62</v>
      </c>
      <c r="O33" s="87" t="s">
        <v>65</v>
      </c>
    </row>
    <row r="34" spans="1:15" ht="20.100000000000001" customHeight="1" x14ac:dyDescent="0.25">
      <c r="A34" s="165"/>
      <c r="B34" s="168"/>
      <c r="C34" s="162"/>
      <c r="D34" s="107"/>
      <c r="E34" s="82"/>
      <c r="F34" s="83"/>
      <c r="G34" s="84"/>
      <c r="H34" s="82"/>
      <c r="I34" s="85"/>
      <c r="J34" s="81" t="s">
        <v>66</v>
      </c>
      <c r="K34" s="82" t="s">
        <v>311</v>
      </c>
      <c r="L34" s="83">
        <v>247</v>
      </c>
      <c r="M34" s="86" t="s">
        <v>248</v>
      </c>
      <c r="N34" s="82" t="s">
        <v>249</v>
      </c>
      <c r="O34" s="87" t="s">
        <v>67</v>
      </c>
    </row>
    <row r="35" spans="1:15" ht="20.100000000000001" customHeight="1" x14ac:dyDescent="0.25">
      <c r="A35" s="165"/>
      <c r="B35" s="168"/>
      <c r="C35" s="162"/>
      <c r="D35" s="107"/>
      <c r="E35" s="82"/>
      <c r="F35" s="83"/>
      <c r="G35" s="84"/>
      <c r="H35" s="82"/>
      <c r="I35" s="85"/>
      <c r="J35" s="81" t="s">
        <v>316</v>
      </c>
      <c r="K35" s="82" t="s">
        <v>268</v>
      </c>
      <c r="L35" s="83">
        <v>4</v>
      </c>
      <c r="M35" s="86" t="s">
        <v>317</v>
      </c>
      <c r="N35" s="82" t="s">
        <v>291</v>
      </c>
      <c r="O35" s="87" t="s">
        <v>53</v>
      </c>
    </row>
    <row r="36" spans="1:15" ht="20.100000000000001" customHeight="1" x14ac:dyDescent="0.25">
      <c r="A36" s="165"/>
      <c r="B36" s="171"/>
      <c r="C36" s="163"/>
      <c r="D36" s="108"/>
      <c r="E36" s="89"/>
      <c r="F36" s="90"/>
      <c r="G36" s="91" t="s">
        <v>241</v>
      </c>
      <c r="H36" s="92">
        <f>SUM(F30:F34) + 1</f>
        <v>7</v>
      </c>
      <c r="I36" s="93" t="s">
        <v>53</v>
      </c>
      <c r="J36" s="88"/>
      <c r="K36" s="89"/>
      <c r="L36" s="90"/>
      <c r="M36" s="94" t="s">
        <v>241</v>
      </c>
      <c r="N36" s="92">
        <f>SUM(L30:L35)</f>
        <v>256</v>
      </c>
      <c r="O36" s="95"/>
    </row>
    <row r="37" spans="1:15" ht="20.100000000000001" customHeight="1" x14ac:dyDescent="0.25">
      <c r="A37" s="165"/>
      <c r="B37" s="176" t="s">
        <v>250</v>
      </c>
      <c r="C37" s="185" t="s">
        <v>31</v>
      </c>
      <c r="D37" s="109" t="s">
        <v>32</v>
      </c>
      <c r="E37" s="49" t="s">
        <v>17</v>
      </c>
      <c r="F37" s="50">
        <v>1</v>
      </c>
      <c r="G37" s="51" t="s">
        <v>251</v>
      </c>
      <c r="H37" s="49" t="s">
        <v>18</v>
      </c>
      <c r="I37" s="52" t="s">
        <v>70</v>
      </c>
      <c r="J37" s="48" t="s">
        <v>8</v>
      </c>
      <c r="K37" s="49" t="s">
        <v>9</v>
      </c>
      <c r="L37" s="50">
        <v>1</v>
      </c>
      <c r="M37" s="54" t="s">
        <v>54</v>
      </c>
      <c r="N37" s="49" t="s">
        <v>53</v>
      </c>
      <c r="O37" s="55" t="s">
        <v>31</v>
      </c>
    </row>
    <row r="38" spans="1:15" ht="20.100000000000001" customHeight="1" x14ac:dyDescent="0.25">
      <c r="A38" s="165"/>
      <c r="B38" s="177"/>
      <c r="C38" s="186"/>
      <c r="D38" s="110" t="s">
        <v>33</v>
      </c>
      <c r="E38" s="57" t="s">
        <v>17</v>
      </c>
      <c r="F38" s="53">
        <v>1</v>
      </c>
      <c r="G38" s="58" t="s">
        <v>252</v>
      </c>
      <c r="H38" s="57" t="s">
        <v>18</v>
      </c>
      <c r="I38" s="59" t="s">
        <v>70</v>
      </c>
      <c r="J38" s="56" t="s">
        <v>34</v>
      </c>
      <c r="K38" s="57" t="s">
        <v>12</v>
      </c>
      <c r="L38" s="53">
        <v>2</v>
      </c>
      <c r="M38" s="60" t="s">
        <v>253</v>
      </c>
      <c r="N38" s="57" t="s">
        <v>13</v>
      </c>
      <c r="O38" s="61" t="s">
        <v>71</v>
      </c>
    </row>
    <row r="39" spans="1:15" ht="20.100000000000001" customHeight="1" x14ac:dyDescent="0.25">
      <c r="A39" s="165"/>
      <c r="B39" s="177"/>
      <c r="C39" s="186"/>
      <c r="D39" s="110" t="s">
        <v>35</v>
      </c>
      <c r="E39" s="57" t="s">
        <v>9</v>
      </c>
      <c r="F39" s="53">
        <v>1</v>
      </c>
      <c r="G39" s="58" t="s">
        <v>254</v>
      </c>
      <c r="H39" s="57" t="s">
        <v>11</v>
      </c>
      <c r="I39" s="59" t="s">
        <v>72</v>
      </c>
      <c r="J39" s="56" t="s">
        <v>36</v>
      </c>
      <c r="K39" s="57" t="s">
        <v>12</v>
      </c>
      <c r="L39" s="53">
        <v>2</v>
      </c>
      <c r="M39" s="60" t="s">
        <v>255</v>
      </c>
      <c r="N39" s="57" t="s">
        <v>13</v>
      </c>
      <c r="O39" s="61" t="s">
        <v>71</v>
      </c>
    </row>
    <row r="40" spans="1:15" ht="20.100000000000001" customHeight="1" x14ac:dyDescent="0.25">
      <c r="A40" s="165"/>
      <c r="B40" s="177"/>
      <c r="C40" s="186"/>
      <c r="D40" s="110" t="s">
        <v>50</v>
      </c>
      <c r="E40" s="57" t="s">
        <v>12</v>
      </c>
      <c r="F40" s="53">
        <v>2</v>
      </c>
      <c r="G40" s="58" t="s">
        <v>51</v>
      </c>
      <c r="H40" s="57" t="s">
        <v>52</v>
      </c>
      <c r="I40" s="59" t="s">
        <v>53</v>
      </c>
      <c r="J40" s="56" t="s">
        <v>37</v>
      </c>
      <c r="K40" s="57" t="s">
        <v>12</v>
      </c>
      <c r="L40" s="53">
        <v>2</v>
      </c>
      <c r="M40" s="60" t="s">
        <v>256</v>
      </c>
      <c r="N40" s="57" t="s">
        <v>13</v>
      </c>
      <c r="O40" s="61" t="s">
        <v>71</v>
      </c>
    </row>
    <row r="41" spans="1:15" ht="20.100000000000001" customHeight="1" x14ac:dyDescent="0.25">
      <c r="A41" s="165"/>
      <c r="B41" s="177"/>
      <c r="C41" s="186"/>
      <c r="D41" s="110"/>
      <c r="E41" s="57"/>
      <c r="F41" s="53"/>
      <c r="G41" s="58"/>
      <c r="H41" s="57"/>
      <c r="I41" s="59"/>
      <c r="J41" s="56" t="s">
        <v>38</v>
      </c>
      <c r="K41" s="57" t="s">
        <v>12</v>
      </c>
      <c r="L41" s="53">
        <v>2</v>
      </c>
      <c r="M41" s="60" t="s">
        <v>257</v>
      </c>
      <c r="N41" s="57" t="s">
        <v>13</v>
      </c>
      <c r="O41" s="61" t="s">
        <v>71</v>
      </c>
    </row>
    <row r="42" spans="1:15" ht="20.100000000000001" customHeight="1" x14ac:dyDescent="0.25">
      <c r="A42" s="165"/>
      <c r="B42" s="177"/>
      <c r="C42" s="186"/>
      <c r="D42" s="110"/>
      <c r="E42" s="57"/>
      <c r="F42" s="53"/>
      <c r="G42" s="58"/>
      <c r="H42" s="57"/>
      <c r="I42" s="59"/>
      <c r="J42" s="56" t="s">
        <v>39</v>
      </c>
      <c r="K42" s="57" t="s">
        <v>12</v>
      </c>
      <c r="L42" s="53">
        <v>2</v>
      </c>
      <c r="M42" s="60" t="s">
        <v>258</v>
      </c>
      <c r="N42" s="57" t="s">
        <v>13</v>
      </c>
      <c r="O42" s="61" t="s">
        <v>71</v>
      </c>
    </row>
    <row r="43" spans="1:15" ht="20.100000000000001" customHeight="1" x14ac:dyDescent="0.25">
      <c r="A43" s="165"/>
      <c r="B43" s="177"/>
      <c r="C43" s="186"/>
      <c r="D43" s="110"/>
      <c r="E43" s="57"/>
      <c r="F43" s="53"/>
      <c r="G43" s="58"/>
      <c r="H43" s="57"/>
      <c r="I43" s="59"/>
      <c r="J43" s="56" t="s">
        <v>40</v>
      </c>
      <c r="K43" s="57" t="s">
        <v>12</v>
      </c>
      <c r="L43" s="53">
        <v>2</v>
      </c>
      <c r="M43" s="60" t="s">
        <v>259</v>
      </c>
      <c r="N43" s="57" t="s">
        <v>13</v>
      </c>
      <c r="O43" s="61" t="s">
        <v>71</v>
      </c>
    </row>
    <row r="44" spans="1:15" ht="20.100000000000001" customHeight="1" x14ac:dyDescent="0.25">
      <c r="A44" s="165"/>
      <c r="B44" s="177"/>
      <c r="C44" s="186"/>
      <c r="D44" s="110"/>
      <c r="E44" s="57"/>
      <c r="F44" s="53"/>
      <c r="G44" s="58"/>
      <c r="H44" s="57"/>
      <c r="I44" s="59"/>
      <c r="J44" s="56" t="s">
        <v>50</v>
      </c>
      <c r="K44" s="57" t="s">
        <v>12</v>
      </c>
      <c r="L44" s="53">
        <v>2</v>
      </c>
      <c r="M44" s="60" t="s">
        <v>51</v>
      </c>
      <c r="N44" s="57" t="s">
        <v>52</v>
      </c>
      <c r="O44" s="61" t="s">
        <v>53</v>
      </c>
    </row>
    <row r="45" spans="1:15" ht="20.100000000000001" customHeight="1" x14ac:dyDescent="0.25">
      <c r="A45" s="165"/>
      <c r="B45" s="178"/>
      <c r="C45" s="187"/>
      <c r="D45" s="111"/>
      <c r="E45" s="112"/>
      <c r="F45" s="113"/>
      <c r="G45" s="114" t="s">
        <v>241</v>
      </c>
      <c r="H45" s="115">
        <f>SUM(F37:F41) + 1</f>
        <v>6</v>
      </c>
      <c r="I45" s="116" t="s">
        <v>53</v>
      </c>
      <c r="J45" s="117"/>
      <c r="K45" s="112"/>
      <c r="L45" s="113"/>
      <c r="M45" s="118" t="s">
        <v>241</v>
      </c>
      <c r="N45" s="115">
        <f>SUM(L37:L44)</f>
        <v>15</v>
      </c>
      <c r="O45" s="119"/>
    </row>
    <row r="46" spans="1:15" ht="20.100000000000001" customHeight="1" x14ac:dyDescent="0.25">
      <c r="A46" s="165"/>
      <c r="B46" s="180" t="s">
        <v>260</v>
      </c>
      <c r="C46" s="188" t="s">
        <v>41</v>
      </c>
      <c r="D46" s="120" t="s">
        <v>42</v>
      </c>
      <c r="E46" s="121" t="s">
        <v>9</v>
      </c>
      <c r="F46" s="122">
        <v>1</v>
      </c>
      <c r="G46" s="123" t="s">
        <v>312</v>
      </c>
      <c r="H46" s="121" t="s">
        <v>294</v>
      </c>
      <c r="I46" s="124" t="s">
        <v>26</v>
      </c>
      <c r="J46" s="125" t="s">
        <v>8</v>
      </c>
      <c r="K46" s="121" t="s">
        <v>9</v>
      </c>
      <c r="L46" s="122">
        <v>1</v>
      </c>
      <c r="M46" s="126" t="s">
        <v>54</v>
      </c>
      <c r="N46" s="121" t="s">
        <v>53</v>
      </c>
      <c r="O46" s="127" t="s">
        <v>41</v>
      </c>
    </row>
    <row r="47" spans="1:15" ht="20.100000000000001" customHeight="1" x14ac:dyDescent="0.25">
      <c r="A47" s="165"/>
      <c r="B47" s="181"/>
      <c r="C47" s="189"/>
      <c r="D47" s="107" t="s">
        <v>43</v>
      </c>
      <c r="E47" s="82" t="s">
        <v>9</v>
      </c>
      <c r="F47" s="83">
        <v>1</v>
      </c>
      <c r="G47" s="84" t="s">
        <v>261</v>
      </c>
      <c r="H47" s="82" t="s">
        <v>230</v>
      </c>
      <c r="I47" s="85" t="s">
        <v>57</v>
      </c>
      <c r="J47" s="81" t="s">
        <v>42</v>
      </c>
      <c r="K47" s="82" t="s">
        <v>9</v>
      </c>
      <c r="L47" s="83">
        <v>1</v>
      </c>
      <c r="M47" s="86" t="s">
        <v>262</v>
      </c>
      <c r="N47" s="82" t="s">
        <v>11</v>
      </c>
      <c r="O47" s="87" t="s">
        <v>275</v>
      </c>
    </row>
    <row r="48" spans="1:15" ht="20.100000000000001" customHeight="1" x14ac:dyDescent="0.25">
      <c r="A48" s="165"/>
      <c r="B48" s="182"/>
      <c r="C48" s="190"/>
      <c r="D48" s="107" t="s">
        <v>50</v>
      </c>
      <c r="E48" s="82" t="s">
        <v>12</v>
      </c>
      <c r="F48" s="83">
        <v>2</v>
      </c>
      <c r="G48" s="84" t="s">
        <v>51</v>
      </c>
      <c r="H48" s="82" t="s">
        <v>52</v>
      </c>
      <c r="I48" s="85" t="s">
        <v>53</v>
      </c>
      <c r="J48" s="81" t="s">
        <v>293</v>
      </c>
      <c r="K48" s="82" t="s">
        <v>273</v>
      </c>
      <c r="L48" s="83">
        <v>1</v>
      </c>
      <c r="M48" s="86" t="s">
        <v>314</v>
      </c>
      <c r="N48" s="82" t="s">
        <v>276</v>
      </c>
      <c r="O48" s="87" t="s">
        <v>277</v>
      </c>
    </row>
    <row r="49" spans="1:15" ht="20.100000000000001" customHeight="1" x14ac:dyDescent="0.25">
      <c r="A49" s="165"/>
      <c r="B49" s="182"/>
      <c r="C49" s="190"/>
      <c r="D49" s="107"/>
      <c r="E49" s="82"/>
      <c r="F49" s="83"/>
      <c r="G49" s="84"/>
      <c r="H49" s="82"/>
      <c r="I49" s="85"/>
      <c r="J49" s="81" t="s">
        <v>280</v>
      </c>
      <c r="K49" s="82" t="s">
        <v>220</v>
      </c>
      <c r="L49" s="83">
        <v>2</v>
      </c>
      <c r="M49" s="86" t="s">
        <v>281</v>
      </c>
      <c r="N49" s="82" t="s">
        <v>282</v>
      </c>
      <c r="O49" s="87"/>
    </row>
    <row r="50" spans="1:15" ht="20.100000000000001" customHeight="1" x14ac:dyDescent="0.25">
      <c r="A50" s="165"/>
      <c r="B50" s="182"/>
      <c r="C50" s="190"/>
      <c r="D50" s="107"/>
      <c r="E50" s="82"/>
      <c r="F50" s="83"/>
      <c r="G50" s="84"/>
      <c r="H50" s="82"/>
      <c r="I50" s="85"/>
      <c r="J50" s="81" t="s">
        <v>29</v>
      </c>
      <c r="K50" s="82" t="s">
        <v>9</v>
      </c>
      <c r="L50" s="83">
        <v>1</v>
      </c>
      <c r="M50" s="86" t="s">
        <v>245</v>
      </c>
      <c r="N50" s="82" t="s">
        <v>60</v>
      </c>
      <c r="O50" s="87" t="s">
        <v>45</v>
      </c>
    </row>
    <row r="51" spans="1:15" ht="20.100000000000001" customHeight="1" x14ac:dyDescent="0.25">
      <c r="A51" s="165"/>
      <c r="B51" s="182"/>
      <c r="C51" s="190"/>
      <c r="D51" s="107"/>
      <c r="E51" s="82"/>
      <c r="F51" s="83"/>
      <c r="G51" s="84"/>
      <c r="H51" s="82"/>
      <c r="I51" s="85"/>
      <c r="J51" s="81" t="s">
        <v>292</v>
      </c>
      <c r="K51" s="82" t="s">
        <v>268</v>
      </c>
      <c r="L51" s="83">
        <v>4</v>
      </c>
      <c r="M51" s="86" t="s">
        <v>290</v>
      </c>
      <c r="N51" s="82" t="s">
        <v>291</v>
      </c>
      <c r="O51" s="87" t="s">
        <v>45</v>
      </c>
    </row>
    <row r="52" spans="1:15" ht="20.100000000000001" customHeight="1" x14ac:dyDescent="0.25">
      <c r="A52" s="165"/>
      <c r="B52" s="182"/>
      <c r="C52" s="190"/>
      <c r="D52" s="107"/>
      <c r="E52" s="82"/>
      <c r="F52" s="83"/>
      <c r="G52" s="84"/>
      <c r="H52" s="82"/>
      <c r="I52" s="85"/>
      <c r="J52" s="81" t="s">
        <v>50</v>
      </c>
      <c r="K52" s="82" t="s">
        <v>12</v>
      </c>
      <c r="L52" s="83">
        <v>2</v>
      </c>
      <c r="M52" s="86" t="s">
        <v>51</v>
      </c>
      <c r="N52" s="82" t="s">
        <v>52</v>
      </c>
      <c r="O52" s="87" t="s">
        <v>53</v>
      </c>
    </row>
    <row r="53" spans="1:15" ht="20.100000000000001" customHeight="1" x14ac:dyDescent="0.25">
      <c r="A53" s="165"/>
      <c r="B53" s="183"/>
      <c r="C53" s="191"/>
      <c r="D53" s="128"/>
      <c r="E53" s="129"/>
      <c r="F53" s="130"/>
      <c r="G53" s="131" t="s">
        <v>241</v>
      </c>
      <c r="H53" s="132">
        <f>SUM(F46:F49) + 1</f>
        <v>5</v>
      </c>
      <c r="I53" s="133" t="s">
        <v>53</v>
      </c>
      <c r="J53" s="134"/>
      <c r="K53" s="129"/>
      <c r="L53" s="130"/>
      <c r="M53" s="135" t="s">
        <v>241</v>
      </c>
      <c r="N53" s="132">
        <f>SUM(L46:L52)</f>
        <v>12</v>
      </c>
      <c r="O53" s="136"/>
    </row>
    <row r="54" spans="1:15" ht="20.100000000000001" customHeight="1" x14ac:dyDescent="0.25">
      <c r="A54" s="165"/>
      <c r="B54" s="176" t="s">
        <v>264</v>
      </c>
      <c r="C54" s="192" t="s">
        <v>44</v>
      </c>
      <c r="D54" s="48" t="s">
        <v>42</v>
      </c>
      <c r="E54" s="49" t="s">
        <v>9</v>
      </c>
      <c r="F54" s="50">
        <v>1</v>
      </c>
      <c r="G54" s="51" t="s">
        <v>312</v>
      </c>
      <c r="H54" s="49" t="s">
        <v>294</v>
      </c>
      <c r="I54" s="52" t="s">
        <v>26</v>
      </c>
      <c r="J54" s="48" t="s">
        <v>8</v>
      </c>
      <c r="K54" s="49" t="s">
        <v>9</v>
      </c>
      <c r="L54" s="50">
        <v>1</v>
      </c>
      <c r="M54" s="54" t="s">
        <v>54</v>
      </c>
      <c r="N54" s="49" t="s">
        <v>53</v>
      </c>
      <c r="O54" s="55" t="s">
        <v>44</v>
      </c>
    </row>
    <row r="55" spans="1:15" ht="20.100000000000001" customHeight="1" x14ac:dyDescent="0.25">
      <c r="A55" s="165"/>
      <c r="B55" s="184"/>
      <c r="C55" s="193"/>
      <c r="D55" s="56" t="s">
        <v>43</v>
      </c>
      <c r="E55" s="57" t="s">
        <v>9</v>
      </c>
      <c r="F55" s="53">
        <v>1</v>
      </c>
      <c r="G55" s="58" t="s">
        <v>261</v>
      </c>
      <c r="H55" s="57" t="s">
        <v>230</v>
      </c>
      <c r="I55" s="59" t="s">
        <v>57</v>
      </c>
      <c r="J55" s="56" t="s">
        <v>42</v>
      </c>
      <c r="K55" s="57" t="s">
        <v>9</v>
      </c>
      <c r="L55" s="53">
        <v>1</v>
      </c>
      <c r="M55" s="60" t="s">
        <v>262</v>
      </c>
      <c r="N55" s="57" t="s">
        <v>294</v>
      </c>
      <c r="O55" s="61" t="s">
        <v>26</v>
      </c>
    </row>
    <row r="56" spans="1:15" ht="20.100000000000001" customHeight="1" x14ac:dyDescent="0.25">
      <c r="A56" s="165"/>
      <c r="B56" s="177"/>
      <c r="C56" s="194"/>
      <c r="D56" s="56" t="s">
        <v>284</v>
      </c>
      <c r="E56" s="57" t="s">
        <v>12</v>
      </c>
      <c r="F56" s="53">
        <v>2</v>
      </c>
      <c r="G56" s="58" t="s">
        <v>295</v>
      </c>
      <c r="H56" s="57" t="s">
        <v>313</v>
      </c>
      <c r="I56" s="59" t="s">
        <v>55</v>
      </c>
      <c r="J56" s="56" t="s">
        <v>43</v>
      </c>
      <c r="K56" s="57" t="s">
        <v>9</v>
      </c>
      <c r="L56" s="53">
        <v>1</v>
      </c>
      <c r="M56" s="60" t="s">
        <v>263</v>
      </c>
      <c r="N56" s="57" t="s">
        <v>230</v>
      </c>
      <c r="O56" s="61" t="s">
        <v>57</v>
      </c>
    </row>
    <row r="57" spans="1:15" ht="20.100000000000001" customHeight="1" x14ac:dyDescent="0.25">
      <c r="A57" s="165"/>
      <c r="B57" s="177"/>
      <c r="C57" s="194"/>
      <c r="D57" s="56" t="s">
        <v>50</v>
      </c>
      <c r="E57" s="57" t="s">
        <v>12</v>
      </c>
      <c r="F57" s="53">
        <v>2</v>
      </c>
      <c r="G57" s="58" t="s">
        <v>51</v>
      </c>
      <c r="H57" s="57" t="s">
        <v>52</v>
      </c>
      <c r="I57" s="59" t="s">
        <v>53</v>
      </c>
      <c r="J57" s="56" t="s">
        <v>284</v>
      </c>
      <c r="K57" s="57" t="s">
        <v>12</v>
      </c>
      <c r="L57" s="53">
        <v>2</v>
      </c>
      <c r="M57" s="60" t="s">
        <v>247</v>
      </c>
      <c r="N57" s="57" t="s">
        <v>62</v>
      </c>
      <c r="O57" s="61" t="s">
        <v>55</v>
      </c>
    </row>
    <row r="58" spans="1:15" ht="20.100000000000001" customHeight="1" x14ac:dyDescent="0.25">
      <c r="A58" s="165"/>
      <c r="B58" s="177"/>
      <c r="C58" s="194"/>
      <c r="D58" s="56"/>
      <c r="E58" s="57"/>
      <c r="F58" s="53"/>
      <c r="G58" s="58"/>
      <c r="H58" s="57"/>
      <c r="I58" s="59"/>
      <c r="J58" s="56" t="s">
        <v>315</v>
      </c>
      <c r="K58" s="57" t="s">
        <v>311</v>
      </c>
      <c r="L58" s="53">
        <v>247</v>
      </c>
      <c r="M58" s="60" t="s">
        <v>265</v>
      </c>
      <c r="N58" s="57" t="s">
        <v>249</v>
      </c>
      <c r="O58" s="61" t="s">
        <v>67</v>
      </c>
    </row>
    <row r="59" spans="1:15" ht="20.100000000000001" customHeight="1" x14ac:dyDescent="0.25">
      <c r="A59" s="165"/>
      <c r="B59" s="177"/>
      <c r="C59" s="194"/>
      <c r="D59" s="56"/>
      <c r="E59" s="57"/>
      <c r="F59" s="53"/>
      <c r="G59" s="58"/>
      <c r="H59" s="57"/>
      <c r="I59" s="59"/>
      <c r="J59" s="56" t="s">
        <v>316</v>
      </c>
      <c r="K59" s="57" t="s">
        <v>268</v>
      </c>
      <c r="L59" s="53">
        <v>4</v>
      </c>
      <c r="M59" s="60" t="s">
        <v>317</v>
      </c>
      <c r="N59" s="57" t="s">
        <v>69</v>
      </c>
      <c r="O59" s="61" t="s">
        <v>53</v>
      </c>
    </row>
    <row r="60" spans="1:15" ht="20.100000000000001" customHeight="1" x14ac:dyDescent="0.25">
      <c r="A60" s="166"/>
      <c r="B60" s="178"/>
      <c r="C60" s="195"/>
      <c r="D60" s="67"/>
      <c r="E60" s="68"/>
      <c r="F60" s="69"/>
      <c r="G60" s="70" t="s">
        <v>241</v>
      </c>
      <c r="H60" s="71">
        <f>SUM(F54:F58) + 1</f>
        <v>7</v>
      </c>
      <c r="I60" s="72" t="s">
        <v>53</v>
      </c>
      <c r="J60" s="67"/>
      <c r="K60" s="68"/>
      <c r="L60" s="69"/>
      <c r="M60" s="73" t="s">
        <v>241</v>
      </c>
      <c r="N60" s="71">
        <f>SUM(L54:L59)</f>
        <v>256</v>
      </c>
      <c r="O60" s="74"/>
    </row>
    <row r="61" spans="1:15" x14ac:dyDescent="0.25">
      <c r="I61" s="40"/>
      <c r="J61" s="40"/>
    </row>
    <row r="62" spans="1:15" x14ac:dyDescent="0.25">
      <c r="I62"/>
    </row>
    <row r="63" spans="1:15" x14ac:dyDescent="0.25">
      <c r="I63"/>
    </row>
    <row r="64" spans="1:15" x14ac:dyDescent="0.25">
      <c r="I64"/>
    </row>
    <row r="65" spans="9:9" x14ac:dyDescent="0.25">
      <c r="I65"/>
    </row>
    <row r="66" spans="9:9" x14ac:dyDescent="0.25">
      <c r="I66"/>
    </row>
    <row r="67" spans="9:9" x14ac:dyDescent="0.25">
      <c r="I67"/>
    </row>
    <row r="68" spans="9:9" x14ac:dyDescent="0.25">
      <c r="I68"/>
    </row>
    <row r="69" spans="9:9" x14ac:dyDescent="0.25">
      <c r="I69"/>
    </row>
    <row r="70" spans="9:9" x14ac:dyDescent="0.25">
      <c r="I70"/>
    </row>
    <row r="71" spans="9:9" x14ac:dyDescent="0.25">
      <c r="I71"/>
    </row>
    <row r="72" spans="9:9" x14ac:dyDescent="0.25">
      <c r="I72"/>
    </row>
    <row r="73" spans="9:9" x14ac:dyDescent="0.25">
      <c r="I73"/>
    </row>
    <row r="74" spans="9:9" x14ac:dyDescent="0.25">
      <c r="I74"/>
    </row>
    <row r="75" spans="9:9" x14ac:dyDescent="0.25">
      <c r="I75"/>
    </row>
    <row r="76" spans="9:9" x14ac:dyDescent="0.25">
      <c r="I76"/>
    </row>
    <row r="77" spans="9:9" x14ac:dyDescent="0.25">
      <c r="I77"/>
    </row>
    <row r="78" spans="9:9" x14ac:dyDescent="0.25">
      <c r="I78"/>
    </row>
    <row r="79" spans="9:9" x14ac:dyDescent="0.25">
      <c r="I79"/>
    </row>
    <row r="80" spans="9:9" x14ac:dyDescent="0.25">
      <c r="I80"/>
    </row>
    <row r="81" spans="9:9" x14ac:dyDescent="0.25">
      <c r="I81"/>
    </row>
    <row r="82" spans="9:9" x14ac:dyDescent="0.25">
      <c r="I82"/>
    </row>
    <row r="83" spans="9:9" x14ac:dyDescent="0.25">
      <c r="I83"/>
    </row>
    <row r="84" spans="9:9" x14ac:dyDescent="0.25">
      <c r="I84"/>
    </row>
    <row r="85" spans="9:9" x14ac:dyDescent="0.25">
      <c r="I85"/>
    </row>
    <row r="86" spans="9:9" x14ac:dyDescent="0.25">
      <c r="I86"/>
    </row>
    <row r="87" spans="9:9" x14ac:dyDescent="0.25">
      <c r="I87"/>
    </row>
    <row r="88" spans="9:9" x14ac:dyDescent="0.25">
      <c r="I88"/>
    </row>
    <row r="89" spans="9:9" x14ac:dyDescent="0.25">
      <c r="I89"/>
    </row>
    <row r="90" spans="9:9" x14ac:dyDescent="0.25">
      <c r="I90"/>
    </row>
    <row r="91" spans="9:9" x14ac:dyDescent="0.25">
      <c r="I91"/>
    </row>
    <row r="92" spans="9:9" x14ac:dyDescent="0.25">
      <c r="I92"/>
    </row>
    <row r="93" spans="9:9" x14ac:dyDescent="0.25">
      <c r="I93"/>
    </row>
    <row r="94" spans="9:9" x14ac:dyDescent="0.25">
      <c r="I94"/>
    </row>
    <row r="95" spans="9:9" x14ac:dyDescent="0.25">
      <c r="I95"/>
    </row>
    <row r="96" spans="9:9" x14ac:dyDescent="0.25">
      <c r="I96"/>
    </row>
    <row r="97" spans="9:9" x14ac:dyDescent="0.25">
      <c r="I97"/>
    </row>
    <row r="98" spans="9:9" x14ac:dyDescent="0.25">
      <c r="I98"/>
    </row>
    <row r="99" spans="9:9" x14ac:dyDescent="0.25">
      <c r="I99"/>
    </row>
    <row r="100" spans="9:9" x14ac:dyDescent="0.25">
      <c r="I100"/>
    </row>
    <row r="101" spans="9:9" x14ac:dyDescent="0.25">
      <c r="I101"/>
    </row>
    <row r="102" spans="9:9" x14ac:dyDescent="0.25">
      <c r="I102"/>
    </row>
    <row r="103" spans="9:9" x14ac:dyDescent="0.25">
      <c r="I103"/>
    </row>
    <row r="104" spans="9:9" x14ac:dyDescent="0.25">
      <c r="I104"/>
    </row>
    <row r="105" spans="9:9" x14ac:dyDescent="0.25">
      <c r="I105"/>
    </row>
    <row r="106" spans="9:9" x14ac:dyDescent="0.25">
      <c r="I106"/>
    </row>
    <row r="107" spans="9:9" x14ac:dyDescent="0.25">
      <c r="I107"/>
    </row>
    <row r="108" spans="9:9" x14ac:dyDescent="0.25">
      <c r="I108"/>
    </row>
    <row r="109" spans="9:9" x14ac:dyDescent="0.25">
      <c r="I109"/>
    </row>
    <row r="110" spans="9:9" x14ac:dyDescent="0.25">
      <c r="I110"/>
    </row>
    <row r="111" spans="9:9" x14ac:dyDescent="0.25">
      <c r="I111"/>
    </row>
    <row r="112" spans="9:9" x14ac:dyDescent="0.25">
      <c r="I112"/>
    </row>
    <row r="113" spans="9:9" x14ac:dyDescent="0.25">
      <c r="I113"/>
    </row>
    <row r="114" spans="9:9" x14ac:dyDescent="0.25">
      <c r="I114"/>
    </row>
    <row r="115" spans="9:9" x14ac:dyDescent="0.25">
      <c r="I115"/>
    </row>
    <row r="116" spans="9:9" x14ac:dyDescent="0.25">
      <c r="I116"/>
    </row>
    <row r="117" spans="9:9" x14ac:dyDescent="0.25">
      <c r="I117"/>
    </row>
    <row r="118" spans="9:9" x14ac:dyDescent="0.25">
      <c r="I118"/>
    </row>
    <row r="119" spans="9:9" x14ac:dyDescent="0.25">
      <c r="I119"/>
    </row>
    <row r="120" spans="9:9" x14ac:dyDescent="0.25">
      <c r="I120"/>
    </row>
    <row r="121" spans="9:9" x14ac:dyDescent="0.25">
      <c r="I121"/>
    </row>
    <row r="122" spans="9:9" x14ac:dyDescent="0.25">
      <c r="I122"/>
    </row>
    <row r="123" spans="9:9" x14ac:dyDescent="0.25">
      <c r="I123"/>
    </row>
    <row r="124" spans="9:9" x14ac:dyDescent="0.25">
      <c r="I124"/>
    </row>
    <row r="125" spans="9:9" x14ac:dyDescent="0.25">
      <c r="I125"/>
    </row>
    <row r="126" spans="9:9" x14ac:dyDescent="0.25">
      <c r="I126"/>
    </row>
    <row r="127" spans="9:9" x14ac:dyDescent="0.25">
      <c r="I127"/>
    </row>
    <row r="128" spans="9:9" x14ac:dyDescent="0.25">
      <c r="I128"/>
    </row>
    <row r="129" spans="9:9" x14ac:dyDescent="0.25">
      <c r="I129"/>
    </row>
    <row r="130" spans="9:9" x14ac:dyDescent="0.25">
      <c r="I130"/>
    </row>
    <row r="131" spans="9:9" x14ac:dyDescent="0.25">
      <c r="I131"/>
    </row>
    <row r="132" spans="9:9" x14ac:dyDescent="0.25">
      <c r="I132"/>
    </row>
    <row r="133" spans="9:9" x14ac:dyDescent="0.25">
      <c r="I133"/>
    </row>
    <row r="134" spans="9:9" x14ac:dyDescent="0.25">
      <c r="I134"/>
    </row>
    <row r="135" spans="9:9" x14ac:dyDescent="0.25">
      <c r="I135"/>
    </row>
    <row r="136" spans="9:9" x14ac:dyDescent="0.25">
      <c r="I136"/>
    </row>
    <row r="137" spans="9:9" x14ac:dyDescent="0.25">
      <c r="I137"/>
    </row>
    <row r="138" spans="9:9" x14ac:dyDescent="0.25">
      <c r="I138"/>
    </row>
    <row r="139" spans="9:9" x14ac:dyDescent="0.25">
      <c r="I139"/>
    </row>
    <row r="140" spans="9:9" x14ac:dyDescent="0.25">
      <c r="I140"/>
    </row>
    <row r="141" spans="9:9" x14ac:dyDescent="0.25">
      <c r="I141"/>
    </row>
    <row r="142" spans="9:9" x14ac:dyDescent="0.25">
      <c r="I142"/>
    </row>
    <row r="143" spans="9:9" x14ac:dyDescent="0.25">
      <c r="I143"/>
    </row>
    <row r="144" spans="9:9" x14ac:dyDescent="0.25">
      <c r="I144"/>
    </row>
    <row r="145" spans="9:9" x14ac:dyDescent="0.25">
      <c r="I145"/>
    </row>
    <row r="146" spans="9:9" x14ac:dyDescent="0.25">
      <c r="I146"/>
    </row>
    <row r="147" spans="9:9" x14ac:dyDescent="0.25">
      <c r="I147"/>
    </row>
    <row r="148" spans="9:9" x14ac:dyDescent="0.25">
      <c r="I148"/>
    </row>
    <row r="149" spans="9:9" x14ac:dyDescent="0.25">
      <c r="I149"/>
    </row>
    <row r="150" spans="9:9" x14ac:dyDescent="0.25">
      <c r="I150"/>
    </row>
    <row r="151" spans="9:9" x14ac:dyDescent="0.25">
      <c r="I151"/>
    </row>
    <row r="152" spans="9:9" x14ac:dyDescent="0.25">
      <c r="I152"/>
    </row>
    <row r="153" spans="9:9" x14ac:dyDescent="0.25">
      <c r="I153"/>
    </row>
    <row r="154" spans="9:9" x14ac:dyDescent="0.25">
      <c r="I154"/>
    </row>
    <row r="155" spans="9:9" x14ac:dyDescent="0.25">
      <c r="I155"/>
    </row>
    <row r="156" spans="9:9" x14ac:dyDescent="0.25">
      <c r="I156"/>
    </row>
    <row r="157" spans="9:9" x14ac:dyDescent="0.25">
      <c r="I157"/>
    </row>
    <row r="158" spans="9:9" x14ac:dyDescent="0.25">
      <c r="I158"/>
    </row>
    <row r="159" spans="9:9" x14ac:dyDescent="0.25">
      <c r="I159"/>
    </row>
    <row r="160" spans="9:9" x14ac:dyDescent="0.25">
      <c r="I160"/>
    </row>
    <row r="161" spans="9:9" x14ac:dyDescent="0.25">
      <c r="I161"/>
    </row>
    <row r="162" spans="9:9" x14ac:dyDescent="0.25">
      <c r="I162"/>
    </row>
    <row r="163" spans="9:9" x14ac:dyDescent="0.25">
      <c r="I163"/>
    </row>
    <row r="164" spans="9:9" x14ac:dyDescent="0.25">
      <c r="I164"/>
    </row>
    <row r="165" spans="9:9" x14ac:dyDescent="0.25">
      <c r="I165"/>
    </row>
    <row r="166" spans="9:9" x14ac:dyDescent="0.25">
      <c r="I166"/>
    </row>
    <row r="167" spans="9:9" x14ac:dyDescent="0.25">
      <c r="I167"/>
    </row>
    <row r="168" spans="9:9" x14ac:dyDescent="0.25">
      <c r="I168"/>
    </row>
    <row r="169" spans="9:9" x14ac:dyDescent="0.25">
      <c r="I169"/>
    </row>
    <row r="170" spans="9:9" x14ac:dyDescent="0.25">
      <c r="I170"/>
    </row>
    <row r="171" spans="9:9" x14ac:dyDescent="0.25">
      <c r="I171"/>
    </row>
    <row r="172" spans="9:9" x14ac:dyDescent="0.25">
      <c r="I172"/>
    </row>
    <row r="173" spans="9:9" x14ac:dyDescent="0.25">
      <c r="I173"/>
    </row>
    <row r="174" spans="9:9" x14ac:dyDescent="0.25">
      <c r="I174"/>
    </row>
    <row r="175" spans="9:9" x14ac:dyDescent="0.25">
      <c r="I175"/>
    </row>
    <row r="176" spans="9:9" x14ac:dyDescent="0.25">
      <c r="I176"/>
    </row>
    <row r="177" spans="9:9" x14ac:dyDescent="0.25">
      <c r="I177"/>
    </row>
    <row r="178" spans="9:9" x14ac:dyDescent="0.25">
      <c r="I178"/>
    </row>
    <row r="179" spans="9:9" x14ac:dyDescent="0.25">
      <c r="I179"/>
    </row>
    <row r="180" spans="9:9" x14ac:dyDescent="0.25">
      <c r="I180"/>
    </row>
    <row r="181" spans="9:9" x14ac:dyDescent="0.25">
      <c r="I181"/>
    </row>
    <row r="182" spans="9:9" x14ac:dyDescent="0.25">
      <c r="I182"/>
    </row>
    <row r="183" spans="9:9" x14ac:dyDescent="0.25">
      <c r="I183"/>
    </row>
    <row r="184" spans="9:9" x14ac:dyDescent="0.25">
      <c r="I184"/>
    </row>
    <row r="185" spans="9:9" x14ac:dyDescent="0.25">
      <c r="I185"/>
    </row>
    <row r="186" spans="9:9" x14ac:dyDescent="0.25">
      <c r="I186"/>
    </row>
    <row r="187" spans="9:9" x14ac:dyDescent="0.25">
      <c r="I187"/>
    </row>
    <row r="188" spans="9:9" x14ac:dyDescent="0.25">
      <c r="I188"/>
    </row>
    <row r="189" spans="9:9" x14ac:dyDescent="0.25">
      <c r="I189"/>
    </row>
    <row r="190" spans="9:9" x14ac:dyDescent="0.25">
      <c r="I190"/>
    </row>
    <row r="191" spans="9:9" x14ac:dyDescent="0.25">
      <c r="I191"/>
    </row>
    <row r="192" spans="9:9" x14ac:dyDescent="0.25">
      <c r="I192"/>
    </row>
    <row r="193" spans="9:9" x14ac:dyDescent="0.25">
      <c r="I193"/>
    </row>
    <row r="194" spans="9:9" x14ac:dyDescent="0.25">
      <c r="I194"/>
    </row>
    <row r="195" spans="9:9" x14ac:dyDescent="0.25">
      <c r="I195"/>
    </row>
    <row r="196" spans="9:9" x14ac:dyDescent="0.25">
      <c r="I196"/>
    </row>
    <row r="197" spans="9:9" x14ac:dyDescent="0.25">
      <c r="I197"/>
    </row>
    <row r="198" spans="9:9" x14ac:dyDescent="0.25">
      <c r="I198"/>
    </row>
    <row r="199" spans="9:9" x14ac:dyDescent="0.25">
      <c r="I199"/>
    </row>
    <row r="200" spans="9:9" x14ac:dyDescent="0.25">
      <c r="I200"/>
    </row>
    <row r="201" spans="9:9" x14ac:dyDescent="0.25">
      <c r="I201"/>
    </row>
    <row r="202" spans="9:9" x14ac:dyDescent="0.25">
      <c r="I202"/>
    </row>
    <row r="203" spans="9:9" x14ac:dyDescent="0.25">
      <c r="I203"/>
    </row>
    <row r="204" spans="9:9" x14ac:dyDescent="0.25">
      <c r="I204"/>
    </row>
    <row r="205" spans="9:9" x14ac:dyDescent="0.25">
      <c r="I205"/>
    </row>
    <row r="206" spans="9:9" x14ac:dyDescent="0.25">
      <c r="I206"/>
    </row>
    <row r="207" spans="9:9" x14ac:dyDescent="0.25">
      <c r="I207"/>
    </row>
    <row r="208" spans="9:9" x14ac:dyDescent="0.25">
      <c r="I208"/>
    </row>
    <row r="209" spans="9:9" x14ac:dyDescent="0.25">
      <c r="I209"/>
    </row>
    <row r="210" spans="9:9" x14ac:dyDescent="0.25">
      <c r="I210"/>
    </row>
    <row r="211" spans="9:9" x14ac:dyDescent="0.25">
      <c r="I211"/>
    </row>
    <row r="212" spans="9:9" x14ac:dyDescent="0.25">
      <c r="I212"/>
    </row>
    <row r="213" spans="9:9" x14ac:dyDescent="0.25">
      <c r="I213"/>
    </row>
    <row r="214" spans="9:9" x14ac:dyDescent="0.25">
      <c r="I214"/>
    </row>
    <row r="215" spans="9:9" x14ac:dyDescent="0.25">
      <c r="I215"/>
    </row>
    <row r="216" spans="9:9" x14ac:dyDescent="0.25">
      <c r="I216"/>
    </row>
    <row r="217" spans="9:9" x14ac:dyDescent="0.25">
      <c r="I217"/>
    </row>
    <row r="218" spans="9:9" x14ac:dyDescent="0.25">
      <c r="I218"/>
    </row>
    <row r="219" spans="9:9" x14ac:dyDescent="0.25">
      <c r="I219"/>
    </row>
    <row r="220" spans="9:9" x14ac:dyDescent="0.25">
      <c r="I220"/>
    </row>
    <row r="221" spans="9:9" x14ac:dyDescent="0.25">
      <c r="I221"/>
    </row>
    <row r="222" spans="9:9" x14ac:dyDescent="0.25">
      <c r="I222"/>
    </row>
    <row r="223" spans="9:9" x14ac:dyDescent="0.25">
      <c r="I223"/>
    </row>
    <row r="224" spans="9:9" x14ac:dyDescent="0.25">
      <c r="I224"/>
    </row>
    <row r="225" spans="9:9" x14ac:dyDescent="0.25">
      <c r="I225"/>
    </row>
    <row r="226" spans="9:9" x14ac:dyDescent="0.25">
      <c r="I226"/>
    </row>
    <row r="227" spans="9:9" x14ac:dyDescent="0.25">
      <c r="I227"/>
    </row>
    <row r="228" spans="9:9" x14ac:dyDescent="0.25">
      <c r="I228"/>
    </row>
    <row r="229" spans="9:9" x14ac:dyDescent="0.25">
      <c r="I229"/>
    </row>
    <row r="230" spans="9:9" x14ac:dyDescent="0.25">
      <c r="I230"/>
    </row>
    <row r="231" spans="9:9" x14ac:dyDescent="0.25">
      <c r="I231"/>
    </row>
    <row r="232" spans="9:9" x14ac:dyDescent="0.25">
      <c r="I232"/>
    </row>
    <row r="233" spans="9:9" x14ac:dyDescent="0.25">
      <c r="I233"/>
    </row>
    <row r="234" spans="9:9" x14ac:dyDescent="0.25">
      <c r="I234"/>
    </row>
    <row r="235" spans="9:9" x14ac:dyDescent="0.25">
      <c r="I235"/>
    </row>
    <row r="236" spans="9:9" x14ac:dyDescent="0.25">
      <c r="I236"/>
    </row>
    <row r="237" spans="9:9" x14ac:dyDescent="0.25">
      <c r="I237"/>
    </row>
    <row r="238" spans="9:9" x14ac:dyDescent="0.25">
      <c r="I238"/>
    </row>
    <row r="239" spans="9:9" x14ac:dyDescent="0.25">
      <c r="I239"/>
    </row>
    <row r="240" spans="9:9" x14ac:dyDescent="0.25">
      <c r="I240"/>
    </row>
    <row r="241" spans="9:9" x14ac:dyDescent="0.25">
      <c r="I241"/>
    </row>
    <row r="242" spans="9:9" x14ac:dyDescent="0.25">
      <c r="I242"/>
    </row>
    <row r="243" spans="9:9" x14ac:dyDescent="0.25">
      <c r="I243"/>
    </row>
    <row r="244" spans="9:9" x14ac:dyDescent="0.25">
      <c r="I244"/>
    </row>
    <row r="245" spans="9:9" x14ac:dyDescent="0.25">
      <c r="I245"/>
    </row>
    <row r="246" spans="9:9" x14ac:dyDescent="0.25">
      <c r="I246"/>
    </row>
    <row r="247" spans="9:9" x14ac:dyDescent="0.25">
      <c r="I247"/>
    </row>
    <row r="248" spans="9:9" x14ac:dyDescent="0.25">
      <c r="I248"/>
    </row>
    <row r="249" spans="9:9" x14ac:dyDescent="0.25">
      <c r="I249"/>
    </row>
    <row r="250" spans="9:9" x14ac:dyDescent="0.25">
      <c r="I250"/>
    </row>
    <row r="251" spans="9:9" x14ac:dyDescent="0.25">
      <c r="I251"/>
    </row>
    <row r="252" spans="9:9" x14ac:dyDescent="0.25">
      <c r="I252"/>
    </row>
    <row r="253" spans="9:9" x14ac:dyDescent="0.25">
      <c r="I253"/>
    </row>
    <row r="254" spans="9:9" x14ac:dyDescent="0.25">
      <c r="I254"/>
    </row>
    <row r="255" spans="9:9" x14ac:dyDescent="0.25">
      <c r="I255"/>
    </row>
    <row r="256" spans="9:9" x14ac:dyDescent="0.25">
      <c r="I256"/>
    </row>
    <row r="257" spans="9:9" x14ac:dyDescent="0.25">
      <c r="I257"/>
    </row>
    <row r="258" spans="9:9" x14ac:dyDescent="0.25">
      <c r="I258"/>
    </row>
    <row r="259" spans="9:9" x14ac:dyDescent="0.25">
      <c r="I259"/>
    </row>
    <row r="260" spans="9:9" x14ac:dyDescent="0.25">
      <c r="I260"/>
    </row>
    <row r="261" spans="9:9" x14ac:dyDescent="0.25">
      <c r="I261"/>
    </row>
    <row r="262" spans="9:9" x14ac:dyDescent="0.25">
      <c r="I262"/>
    </row>
    <row r="263" spans="9:9" x14ac:dyDescent="0.25">
      <c r="I263"/>
    </row>
    <row r="264" spans="9:9" x14ac:dyDescent="0.25">
      <c r="I264"/>
    </row>
    <row r="265" spans="9:9" x14ac:dyDescent="0.25">
      <c r="I265"/>
    </row>
    <row r="266" spans="9:9" x14ac:dyDescent="0.25">
      <c r="I266"/>
    </row>
    <row r="267" spans="9:9" x14ac:dyDescent="0.25">
      <c r="I267"/>
    </row>
    <row r="268" spans="9:9" x14ac:dyDescent="0.25">
      <c r="I268"/>
    </row>
    <row r="269" spans="9:9" x14ac:dyDescent="0.25">
      <c r="I269"/>
    </row>
    <row r="270" spans="9:9" x14ac:dyDescent="0.25">
      <c r="I270"/>
    </row>
    <row r="271" spans="9:9" x14ac:dyDescent="0.25">
      <c r="I271"/>
    </row>
    <row r="272" spans="9:9" x14ac:dyDescent="0.25">
      <c r="I272"/>
    </row>
    <row r="273" spans="9:9" x14ac:dyDescent="0.25">
      <c r="I273"/>
    </row>
    <row r="274" spans="9:9" x14ac:dyDescent="0.25">
      <c r="I274"/>
    </row>
    <row r="275" spans="9:9" x14ac:dyDescent="0.25">
      <c r="I275"/>
    </row>
    <row r="276" spans="9:9" x14ac:dyDescent="0.25">
      <c r="I276"/>
    </row>
    <row r="277" spans="9:9" x14ac:dyDescent="0.25">
      <c r="I277"/>
    </row>
    <row r="278" spans="9:9" x14ac:dyDescent="0.25">
      <c r="I278"/>
    </row>
    <row r="279" spans="9:9" x14ac:dyDescent="0.25">
      <c r="I279"/>
    </row>
    <row r="280" spans="9:9" x14ac:dyDescent="0.25">
      <c r="I280"/>
    </row>
    <row r="281" spans="9:9" x14ac:dyDescent="0.25">
      <c r="I281"/>
    </row>
    <row r="282" spans="9:9" x14ac:dyDescent="0.25">
      <c r="I282"/>
    </row>
    <row r="283" spans="9:9" x14ac:dyDescent="0.25">
      <c r="I283"/>
    </row>
    <row r="284" spans="9:9" x14ac:dyDescent="0.25">
      <c r="I284"/>
    </row>
    <row r="285" spans="9:9" x14ac:dyDescent="0.25">
      <c r="I285"/>
    </row>
    <row r="286" spans="9:9" x14ac:dyDescent="0.25">
      <c r="I286"/>
    </row>
    <row r="287" spans="9:9" x14ac:dyDescent="0.25">
      <c r="I287"/>
    </row>
    <row r="288" spans="9:9" x14ac:dyDescent="0.25">
      <c r="I288"/>
    </row>
    <row r="289" spans="9:9" x14ac:dyDescent="0.25">
      <c r="I289"/>
    </row>
    <row r="290" spans="9:9" x14ac:dyDescent="0.25">
      <c r="I290"/>
    </row>
    <row r="291" spans="9:9" x14ac:dyDescent="0.25">
      <c r="I291"/>
    </row>
    <row r="292" spans="9:9" x14ac:dyDescent="0.25">
      <c r="I292"/>
    </row>
    <row r="293" spans="9:9" x14ac:dyDescent="0.25">
      <c r="I293"/>
    </row>
    <row r="294" spans="9:9" x14ac:dyDescent="0.25">
      <c r="I294"/>
    </row>
    <row r="295" spans="9:9" x14ac:dyDescent="0.25">
      <c r="I295"/>
    </row>
    <row r="296" spans="9:9" x14ac:dyDescent="0.25">
      <c r="I296"/>
    </row>
    <row r="297" spans="9:9" x14ac:dyDescent="0.25">
      <c r="I297"/>
    </row>
    <row r="298" spans="9:9" x14ac:dyDescent="0.25">
      <c r="I298"/>
    </row>
    <row r="299" spans="9:9" x14ac:dyDescent="0.25">
      <c r="I299"/>
    </row>
    <row r="300" spans="9:9" x14ac:dyDescent="0.25">
      <c r="I300"/>
    </row>
    <row r="301" spans="9:9" x14ac:dyDescent="0.25">
      <c r="I301"/>
    </row>
    <row r="302" spans="9:9" x14ac:dyDescent="0.25">
      <c r="I302"/>
    </row>
    <row r="303" spans="9:9" x14ac:dyDescent="0.25">
      <c r="I303"/>
    </row>
    <row r="304" spans="9:9" x14ac:dyDescent="0.25">
      <c r="I304"/>
    </row>
    <row r="305" spans="9:9" x14ac:dyDescent="0.25">
      <c r="I305"/>
    </row>
    <row r="306" spans="9:9" x14ac:dyDescent="0.25">
      <c r="I306"/>
    </row>
    <row r="307" spans="9:9" x14ac:dyDescent="0.25">
      <c r="I307"/>
    </row>
    <row r="308" spans="9:9" x14ac:dyDescent="0.25">
      <c r="I308"/>
    </row>
    <row r="309" spans="9:9" x14ac:dyDescent="0.25">
      <c r="I309"/>
    </row>
    <row r="310" spans="9:9" x14ac:dyDescent="0.25">
      <c r="I310"/>
    </row>
    <row r="311" spans="9:9" x14ac:dyDescent="0.25">
      <c r="I311"/>
    </row>
    <row r="312" spans="9:9" x14ac:dyDescent="0.25">
      <c r="I312"/>
    </row>
    <row r="313" spans="9:9" x14ac:dyDescent="0.25">
      <c r="I313"/>
    </row>
    <row r="314" spans="9:9" x14ac:dyDescent="0.25">
      <c r="I314"/>
    </row>
    <row r="315" spans="9:9" x14ac:dyDescent="0.25">
      <c r="I315"/>
    </row>
    <row r="316" spans="9:9" x14ac:dyDescent="0.25">
      <c r="I316"/>
    </row>
    <row r="317" spans="9:9" x14ac:dyDescent="0.25">
      <c r="I317"/>
    </row>
    <row r="318" spans="9:9" x14ac:dyDescent="0.25">
      <c r="I318"/>
    </row>
    <row r="319" spans="9:9" x14ac:dyDescent="0.25">
      <c r="I319"/>
    </row>
    <row r="320" spans="9:9" x14ac:dyDescent="0.25">
      <c r="I320"/>
    </row>
    <row r="321" spans="9:9" x14ac:dyDescent="0.25">
      <c r="I321"/>
    </row>
    <row r="322" spans="9:9" x14ac:dyDescent="0.25">
      <c r="I322"/>
    </row>
    <row r="323" spans="9:9" x14ac:dyDescent="0.25">
      <c r="I323"/>
    </row>
    <row r="324" spans="9:9" x14ac:dyDescent="0.25">
      <c r="I324"/>
    </row>
    <row r="325" spans="9:9" x14ac:dyDescent="0.25">
      <c r="I325"/>
    </row>
    <row r="326" spans="9:9" x14ac:dyDescent="0.25">
      <c r="I326"/>
    </row>
    <row r="327" spans="9:9" x14ac:dyDescent="0.25">
      <c r="I327"/>
    </row>
    <row r="328" spans="9:9" x14ac:dyDescent="0.25">
      <c r="I328"/>
    </row>
    <row r="329" spans="9:9" x14ac:dyDescent="0.25">
      <c r="I329"/>
    </row>
    <row r="330" spans="9:9" x14ac:dyDescent="0.25">
      <c r="I330"/>
    </row>
    <row r="331" spans="9:9" x14ac:dyDescent="0.25">
      <c r="I331"/>
    </row>
    <row r="332" spans="9:9" x14ac:dyDescent="0.25">
      <c r="I332"/>
    </row>
    <row r="333" spans="9:9" x14ac:dyDescent="0.25">
      <c r="I333"/>
    </row>
    <row r="334" spans="9:9" x14ac:dyDescent="0.25">
      <c r="I334"/>
    </row>
    <row r="335" spans="9:9" x14ac:dyDescent="0.25">
      <c r="I335"/>
    </row>
    <row r="336" spans="9:9" x14ac:dyDescent="0.25">
      <c r="I336"/>
    </row>
    <row r="337" spans="9:9" x14ac:dyDescent="0.25">
      <c r="I337"/>
    </row>
    <row r="338" spans="9:9" x14ac:dyDescent="0.25">
      <c r="I338"/>
    </row>
    <row r="339" spans="9:9" x14ac:dyDescent="0.25">
      <c r="I339"/>
    </row>
    <row r="340" spans="9:9" x14ac:dyDescent="0.25">
      <c r="I340"/>
    </row>
    <row r="341" spans="9:9" x14ac:dyDescent="0.25">
      <c r="I341"/>
    </row>
    <row r="342" spans="9:9" x14ac:dyDescent="0.25">
      <c r="I342"/>
    </row>
    <row r="343" spans="9:9" x14ac:dyDescent="0.25">
      <c r="I343"/>
    </row>
    <row r="344" spans="9:9" x14ac:dyDescent="0.25">
      <c r="I344"/>
    </row>
    <row r="345" spans="9:9" x14ac:dyDescent="0.25">
      <c r="I345"/>
    </row>
    <row r="346" spans="9:9" x14ac:dyDescent="0.25">
      <c r="I346"/>
    </row>
    <row r="347" spans="9:9" x14ac:dyDescent="0.25">
      <c r="I347"/>
    </row>
    <row r="348" spans="9:9" x14ac:dyDescent="0.25">
      <c r="I348"/>
    </row>
    <row r="349" spans="9:9" x14ac:dyDescent="0.25">
      <c r="I349"/>
    </row>
    <row r="350" spans="9:9" x14ac:dyDescent="0.25">
      <c r="I350"/>
    </row>
    <row r="351" spans="9:9" x14ac:dyDescent="0.25">
      <c r="I351"/>
    </row>
    <row r="352" spans="9:9" x14ac:dyDescent="0.25">
      <c r="I352"/>
    </row>
    <row r="353" spans="9:9" x14ac:dyDescent="0.25">
      <c r="I353"/>
    </row>
    <row r="354" spans="9:9" x14ac:dyDescent="0.25">
      <c r="I354"/>
    </row>
    <row r="355" spans="9:9" x14ac:dyDescent="0.25">
      <c r="I355"/>
    </row>
    <row r="356" spans="9:9" x14ac:dyDescent="0.25">
      <c r="I356"/>
    </row>
    <row r="357" spans="9:9" x14ac:dyDescent="0.25">
      <c r="I357"/>
    </row>
    <row r="358" spans="9:9" x14ac:dyDescent="0.25">
      <c r="I358"/>
    </row>
    <row r="359" spans="9:9" x14ac:dyDescent="0.25">
      <c r="I359"/>
    </row>
    <row r="360" spans="9:9" x14ac:dyDescent="0.25">
      <c r="I360"/>
    </row>
    <row r="361" spans="9:9" x14ac:dyDescent="0.25">
      <c r="I361"/>
    </row>
    <row r="362" spans="9:9" x14ac:dyDescent="0.25">
      <c r="I362"/>
    </row>
    <row r="363" spans="9:9" x14ac:dyDescent="0.25">
      <c r="I363"/>
    </row>
    <row r="364" spans="9:9" x14ac:dyDescent="0.25">
      <c r="I364"/>
    </row>
    <row r="365" spans="9:9" x14ac:dyDescent="0.25">
      <c r="I365"/>
    </row>
    <row r="366" spans="9:9" x14ac:dyDescent="0.25">
      <c r="I366"/>
    </row>
    <row r="367" spans="9:9" x14ac:dyDescent="0.25">
      <c r="I367"/>
    </row>
    <row r="368" spans="9:9" x14ac:dyDescent="0.25">
      <c r="I368"/>
    </row>
    <row r="369" spans="9:9" x14ac:dyDescent="0.25">
      <c r="I369"/>
    </row>
    <row r="370" spans="9:9" x14ac:dyDescent="0.25">
      <c r="I370"/>
    </row>
    <row r="371" spans="9:9" x14ac:dyDescent="0.25">
      <c r="I371"/>
    </row>
    <row r="372" spans="9:9" x14ac:dyDescent="0.25">
      <c r="I372"/>
    </row>
    <row r="373" spans="9:9" x14ac:dyDescent="0.25">
      <c r="I373"/>
    </row>
    <row r="374" spans="9:9" x14ac:dyDescent="0.25">
      <c r="I374"/>
    </row>
    <row r="375" spans="9:9" x14ac:dyDescent="0.25">
      <c r="I375"/>
    </row>
    <row r="376" spans="9:9" x14ac:dyDescent="0.25">
      <c r="I376"/>
    </row>
    <row r="377" spans="9:9" x14ac:dyDescent="0.25">
      <c r="I377"/>
    </row>
    <row r="378" spans="9:9" x14ac:dyDescent="0.25">
      <c r="I378"/>
    </row>
    <row r="379" spans="9:9" x14ac:dyDescent="0.25">
      <c r="I379"/>
    </row>
    <row r="380" spans="9:9" x14ac:dyDescent="0.25">
      <c r="I380"/>
    </row>
    <row r="381" spans="9:9" x14ac:dyDescent="0.25">
      <c r="I381"/>
    </row>
    <row r="382" spans="9:9" x14ac:dyDescent="0.25">
      <c r="I382"/>
    </row>
    <row r="383" spans="9:9" x14ac:dyDescent="0.25">
      <c r="I383"/>
    </row>
    <row r="384" spans="9:9" x14ac:dyDescent="0.25">
      <c r="I384"/>
    </row>
    <row r="385" spans="9:9" x14ac:dyDescent="0.25">
      <c r="I385"/>
    </row>
    <row r="386" spans="9:9" x14ac:dyDescent="0.25">
      <c r="I386"/>
    </row>
    <row r="387" spans="9:9" x14ac:dyDescent="0.25">
      <c r="I387"/>
    </row>
    <row r="388" spans="9:9" x14ac:dyDescent="0.25">
      <c r="I388"/>
    </row>
    <row r="389" spans="9:9" x14ac:dyDescent="0.25">
      <c r="I389"/>
    </row>
    <row r="390" spans="9:9" x14ac:dyDescent="0.25">
      <c r="I390"/>
    </row>
    <row r="391" spans="9:9" x14ac:dyDescent="0.25">
      <c r="I391"/>
    </row>
    <row r="392" spans="9:9" x14ac:dyDescent="0.25">
      <c r="I392"/>
    </row>
    <row r="393" spans="9:9" x14ac:dyDescent="0.25">
      <c r="I393"/>
    </row>
    <row r="394" spans="9:9" x14ac:dyDescent="0.25">
      <c r="I394"/>
    </row>
    <row r="395" spans="9:9" x14ac:dyDescent="0.25">
      <c r="I395"/>
    </row>
    <row r="396" spans="9:9" x14ac:dyDescent="0.25">
      <c r="I396"/>
    </row>
    <row r="397" spans="9:9" x14ac:dyDescent="0.25">
      <c r="I397"/>
    </row>
    <row r="398" spans="9:9" x14ac:dyDescent="0.25">
      <c r="I398"/>
    </row>
    <row r="399" spans="9:9" x14ac:dyDescent="0.25">
      <c r="I399"/>
    </row>
    <row r="400" spans="9:9" x14ac:dyDescent="0.25">
      <c r="I400"/>
    </row>
    <row r="401" spans="9:9" x14ac:dyDescent="0.25">
      <c r="I401"/>
    </row>
    <row r="402" spans="9:9" x14ac:dyDescent="0.25">
      <c r="I402"/>
    </row>
    <row r="403" spans="9:9" x14ac:dyDescent="0.25">
      <c r="I403"/>
    </row>
    <row r="404" spans="9:9" x14ac:dyDescent="0.25">
      <c r="I404"/>
    </row>
    <row r="405" spans="9:9" x14ac:dyDescent="0.25">
      <c r="I405"/>
    </row>
    <row r="406" spans="9:9" x14ac:dyDescent="0.25">
      <c r="I406"/>
    </row>
    <row r="407" spans="9:9" x14ac:dyDescent="0.25">
      <c r="I407"/>
    </row>
    <row r="408" spans="9:9" x14ac:dyDescent="0.25">
      <c r="I408"/>
    </row>
    <row r="409" spans="9:9" x14ac:dyDescent="0.25">
      <c r="I409"/>
    </row>
    <row r="410" spans="9:9" x14ac:dyDescent="0.25">
      <c r="I410"/>
    </row>
    <row r="411" spans="9:9" x14ac:dyDescent="0.25">
      <c r="I411"/>
    </row>
    <row r="412" spans="9:9" x14ac:dyDescent="0.25">
      <c r="I412"/>
    </row>
    <row r="413" spans="9:9" x14ac:dyDescent="0.25">
      <c r="I413"/>
    </row>
    <row r="414" spans="9:9" x14ac:dyDescent="0.25">
      <c r="I414"/>
    </row>
    <row r="415" spans="9:9" x14ac:dyDescent="0.25">
      <c r="I415"/>
    </row>
    <row r="416" spans="9:9" x14ac:dyDescent="0.25">
      <c r="I416"/>
    </row>
    <row r="417" spans="9:9" x14ac:dyDescent="0.25">
      <c r="I417"/>
    </row>
    <row r="418" spans="9:9" x14ac:dyDescent="0.25">
      <c r="I418"/>
    </row>
    <row r="419" spans="9:9" x14ac:dyDescent="0.25">
      <c r="I419"/>
    </row>
    <row r="420" spans="9:9" x14ac:dyDescent="0.25">
      <c r="I420"/>
    </row>
    <row r="421" spans="9:9" x14ac:dyDescent="0.25">
      <c r="I421"/>
    </row>
    <row r="422" spans="9:9" x14ac:dyDescent="0.25">
      <c r="I422"/>
    </row>
    <row r="423" spans="9:9" x14ac:dyDescent="0.25">
      <c r="I423"/>
    </row>
    <row r="424" spans="9:9" x14ac:dyDescent="0.25">
      <c r="I424"/>
    </row>
    <row r="425" spans="9:9" x14ac:dyDescent="0.25">
      <c r="I425"/>
    </row>
    <row r="426" spans="9:9" x14ac:dyDescent="0.25">
      <c r="I426"/>
    </row>
    <row r="427" spans="9:9" x14ac:dyDescent="0.25">
      <c r="I427"/>
    </row>
    <row r="428" spans="9:9" x14ac:dyDescent="0.25">
      <c r="I428"/>
    </row>
    <row r="429" spans="9:9" x14ac:dyDescent="0.25">
      <c r="I429"/>
    </row>
    <row r="430" spans="9:9" x14ac:dyDescent="0.25">
      <c r="I430"/>
    </row>
    <row r="431" spans="9:9" x14ac:dyDescent="0.25">
      <c r="I431"/>
    </row>
    <row r="432" spans="9:9" x14ac:dyDescent="0.25">
      <c r="I432"/>
    </row>
    <row r="433" spans="9:9" x14ac:dyDescent="0.25">
      <c r="I433"/>
    </row>
    <row r="434" spans="9:9" x14ac:dyDescent="0.25">
      <c r="I434"/>
    </row>
    <row r="435" spans="9:9" x14ac:dyDescent="0.25">
      <c r="I435"/>
    </row>
    <row r="436" spans="9:9" x14ac:dyDescent="0.25">
      <c r="I436"/>
    </row>
    <row r="437" spans="9:9" x14ac:dyDescent="0.25">
      <c r="I437"/>
    </row>
    <row r="438" spans="9:9" x14ac:dyDescent="0.25">
      <c r="I438"/>
    </row>
    <row r="439" spans="9:9" x14ac:dyDescent="0.25">
      <c r="I439"/>
    </row>
    <row r="440" spans="9:9" x14ac:dyDescent="0.25">
      <c r="I440"/>
    </row>
    <row r="441" spans="9:9" x14ac:dyDescent="0.25">
      <c r="I441"/>
    </row>
    <row r="442" spans="9:9" x14ac:dyDescent="0.25">
      <c r="I442"/>
    </row>
    <row r="443" spans="9:9" x14ac:dyDescent="0.25">
      <c r="I443"/>
    </row>
    <row r="444" spans="9:9" x14ac:dyDescent="0.25">
      <c r="I444"/>
    </row>
    <row r="445" spans="9:9" x14ac:dyDescent="0.25">
      <c r="I445"/>
    </row>
    <row r="446" spans="9:9" x14ac:dyDescent="0.25">
      <c r="I446"/>
    </row>
    <row r="447" spans="9:9" x14ac:dyDescent="0.25">
      <c r="I447"/>
    </row>
    <row r="448" spans="9:9" x14ac:dyDescent="0.25">
      <c r="I448"/>
    </row>
    <row r="449" spans="9:9" x14ac:dyDescent="0.25">
      <c r="I449"/>
    </row>
    <row r="450" spans="9:9" x14ac:dyDescent="0.25">
      <c r="I450"/>
    </row>
    <row r="451" spans="9:9" x14ac:dyDescent="0.25">
      <c r="I451"/>
    </row>
    <row r="452" spans="9:9" x14ac:dyDescent="0.25">
      <c r="I452"/>
    </row>
    <row r="453" spans="9:9" x14ac:dyDescent="0.25">
      <c r="I453"/>
    </row>
    <row r="454" spans="9:9" x14ac:dyDescent="0.25">
      <c r="I454"/>
    </row>
    <row r="455" spans="9:9" x14ac:dyDescent="0.25">
      <c r="I455"/>
    </row>
    <row r="456" spans="9:9" x14ac:dyDescent="0.25">
      <c r="I456"/>
    </row>
    <row r="457" spans="9:9" x14ac:dyDescent="0.25">
      <c r="I457"/>
    </row>
    <row r="458" spans="9:9" x14ac:dyDescent="0.25">
      <c r="I458"/>
    </row>
    <row r="459" spans="9:9" x14ac:dyDescent="0.25">
      <c r="I459"/>
    </row>
    <row r="460" spans="9:9" x14ac:dyDescent="0.25">
      <c r="I460"/>
    </row>
    <row r="461" spans="9:9" x14ac:dyDescent="0.25">
      <c r="I461"/>
    </row>
    <row r="462" spans="9:9" x14ac:dyDescent="0.25">
      <c r="I462"/>
    </row>
    <row r="463" spans="9:9" x14ac:dyDescent="0.25">
      <c r="I463"/>
    </row>
    <row r="464" spans="9:9" x14ac:dyDescent="0.25">
      <c r="I464"/>
    </row>
    <row r="465" spans="9:9" x14ac:dyDescent="0.25">
      <c r="I465"/>
    </row>
    <row r="466" spans="9:9" x14ac:dyDescent="0.25">
      <c r="I466"/>
    </row>
    <row r="467" spans="9:9" x14ac:dyDescent="0.25">
      <c r="I467"/>
    </row>
    <row r="468" spans="9:9" x14ac:dyDescent="0.25">
      <c r="I468"/>
    </row>
    <row r="469" spans="9:9" x14ac:dyDescent="0.25">
      <c r="I469"/>
    </row>
    <row r="470" spans="9:9" x14ac:dyDescent="0.25">
      <c r="I470"/>
    </row>
    <row r="471" spans="9:9" x14ac:dyDescent="0.25">
      <c r="I471"/>
    </row>
    <row r="472" spans="9:9" x14ac:dyDescent="0.25">
      <c r="I472"/>
    </row>
    <row r="473" spans="9:9" x14ac:dyDescent="0.25">
      <c r="I473"/>
    </row>
    <row r="474" spans="9:9" x14ac:dyDescent="0.25">
      <c r="I474"/>
    </row>
    <row r="475" spans="9:9" x14ac:dyDescent="0.25">
      <c r="I475"/>
    </row>
    <row r="476" spans="9:9" x14ac:dyDescent="0.25">
      <c r="I476"/>
    </row>
    <row r="477" spans="9:9" x14ac:dyDescent="0.25">
      <c r="I477"/>
    </row>
    <row r="478" spans="9:9" x14ac:dyDescent="0.25">
      <c r="I478"/>
    </row>
    <row r="479" spans="9:9" x14ac:dyDescent="0.25">
      <c r="I479"/>
    </row>
    <row r="480" spans="9:9" x14ac:dyDescent="0.25">
      <c r="I480"/>
    </row>
    <row r="481" spans="9:9" x14ac:dyDescent="0.25">
      <c r="I481"/>
    </row>
    <row r="482" spans="9:9" x14ac:dyDescent="0.25">
      <c r="I482"/>
    </row>
    <row r="483" spans="9:9" x14ac:dyDescent="0.25">
      <c r="I483"/>
    </row>
    <row r="484" spans="9:9" x14ac:dyDescent="0.25">
      <c r="I484"/>
    </row>
    <row r="485" spans="9:9" x14ac:dyDescent="0.25">
      <c r="I485"/>
    </row>
    <row r="486" spans="9:9" x14ac:dyDescent="0.25">
      <c r="I486"/>
    </row>
    <row r="487" spans="9:9" x14ac:dyDescent="0.25">
      <c r="I487"/>
    </row>
    <row r="488" spans="9:9" x14ac:dyDescent="0.25">
      <c r="I488"/>
    </row>
    <row r="489" spans="9:9" x14ac:dyDescent="0.25">
      <c r="I489"/>
    </row>
    <row r="490" spans="9:9" x14ac:dyDescent="0.25">
      <c r="I490"/>
    </row>
    <row r="491" spans="9:9" x14ac:dyDescent="0.25">
      <c r="I491"/>
    </row>
    <row r="492" spans="9:9" x14ac:dyDescent="0.25">
      <c r="I492"/>
    </row>
    <row r="493" spans="9:9" x14ac:dyDescent="0.25">
      <c r="I493"/>
    </row>
    <row r="494" spans="9:9" x14ac:dyDescent="0.25">
      <c r="I494"/>
    </row>
    <row r="495" spans="9:9" x14ac:dyDescent="0.25">
      <c r="I495"/>
    </row>
    <row r="496" spans="9:9" x14ac:dyDescent="0.25">
      <c r="I496"/>
    </row>
    <row r="497" spans="9:9" x14ac:dyDescent="0.25">
      <c r="I497"/>
    </row>
    <row r="498" spans="9:9" x14ac:dyDescent="0.25">
      <c r="I498"/>
    </row>
    <row r="499" spans="9:9" x14ac:dyDescent="0.25">
      <c r="I499"/>
    </row>
    <row r="500" spans="9:9" x14ac:dyDescent="0.25">
      <c r="I500"/>
    </row>
    <row r="501" spans="9:9" x14ac:dyDescent="0.25">
      <c r="I501"/>
    </row>
    <row r="502" spans="9:9" x14ac:dyDescent="0.25">
      <c r="I502"/>
    </row>
    <row r="503" spans="9:9" x14ac:dyDescent="0.25">
      <c r="I503"/>
    </row>
    <row r="504" spans="9:9" x14ac:dyDescent="0.25">
      <c r="I504"/>
    </row>
    <row r="505" spans="9:9" x14ac:dyDescent="0.25">
      <c r="I505"/>
    </row>
    <row r="506" spans="9:9" x14ac:dyDescent="0.25">
      <c r="I506"/>
    </row>
    <row r="507" spans="9:9" x14ac:dyDescent="0.25">
      <c r="I507"/>
    </row>
    <row r="508" spans="9:9" x14ac:dyDescent="0.25">
      <c r="I508"/>
    </row>
    <row r="509" spans="9:9" x14ac:dyDescent="0.25">
      <c r="I509"/>
    </row>
    <row r="510" spans="9:9" x14ac:dyDescent="0.25">
      <c r="I510"/>
    </row>
    <row r="511" spans="9:9" x14ac:dyDescent="0.25">
      <c r="I511"/>
    </row>
    <row r="512" spans="9:9" x14ac:dyDescent="0.25">
      <c r="I512"/>
    </row>
    <row r="513" spans="9:9" x14ac:dyDescent="0.25">
      <c r="I513"/>
    </row>
    <row r="514" spans="9:9" x14ac:dyDescent="0.25">
      <c r="I514"/>
    </row>
    <row r="515" spans="9:9" x14ac:dyDescent="0.25">
      <c r="I515"/>
    </row>
    <row r="516" spans="9:9" x14ac:dyDescent="0.25">
      <c r="I516"/>
    </row>
    <row r="517" spans="9:9" x14ac:dyDescent="0.25">
      <c r="I517"/>
    </row>
    <row r="518" spans="9:9" x14ac:dyDescent="0.25">
      <c r="I518"/>
    </row>
    <row r="519" spans="9:9" x14ac:dyDescent="0.25">
      <c r="I519"/>
    </row>
    <row r="520" spans="9:9" x14ac:dyDescent="0.25">
      <c r="I520"/>
    </row>
    <row r="521" spans="9:9" x14ac:dyDescent="0.25">
      <c r="I521"/>
    </row>
    <row r="522" spans="9:9" x14ac:dyDescent="0.25">
      <c r="I522"/>
    </row>
    <row r="523" spans="9:9" x14ac:dyDescent="0.25">
      <c r="I523"/>
    </row>
    <row r="524" spans="9:9" x14ac:dyDescent="0.25">
      <c r="I524"/>
    </row>
    <row r="525" spans="9:9" x14ac:dyDescent="0.25">
      <c r="I525"/>
    </row>
    <row r="526" spans="9:9" x14ac:dyDescent="0.25">
      <c r="I526"/>
    </row>
    <row r="527" spans="9:9" x14ac:dyDescent="0.25">
      <c r="I527"/>
    </row>
    <row r="528" spans="9:9" x14ac:dyDescent="0.25">
      <c r="I528"/>
    </row>
    <row r="529" spans="9:9" x14ac:dyDescent="0.25">
      <c r="I529"/>
    </row>
    <row r="530" spans="9:9" x14ac:dyDescent="0.25">
      <c r="I530"/>
    </row>
    <row r="531" spans="9:9" x14ac:dyDescent="0.25">
      <c r="I531"/>
    </row>
    <row r="532" spans="9:9" x14ac:dyDescent="0.25">
      <c r="I532"/>
    </row>
    <row r="533" spans="9:9" x14ac:dyDescent="0.25">
      <c r="I533"/>
    </row>
    <row r="534" spans="9:9" x14ac:dyDescent="0.25">
      <c r="I534"/>
    </row>
    <row r="535" spans="9:9" x14ac:dyDescent="0.25">
      <c r="I535"/>
    </row>
    <row r="536" spans="9:9" x14ac:dyDescent="0.25">
      <c r="I536"/>
    </row>
    <row r="537" spans="9:9" x14ac:dyDescent="0.25">
      <c r="I537"/>
    </row>
    <row r="538" spans="9:9" x14ac:dyDescent="0.25">
      <c r="I538"/>
    </row>
    <row r="539" spans="9:9" x14ac:dyDescent="0.25">
      <c r="I539"/>
    </row>
    <row r="540" spans="9:9" x14ac:dyDescent="0.25">
      <c r="I540"/>
    </row>
    <row r="541" spans="9:9" x14ac:dyDescent="0.25">
      <c r="I541"/>
    </row>
    <row r="542" spans="9:9" x14ac:dyDescent="0.25">
      <c r="I542"/>
    </row>
    <row r="543" spans="9:9" x14ac:dyDescent="0.25">
      <c r="I543"/>
    </row>
    <row r="544" spans="9:9" x14ac:dyDescent="0.25">
      <c r="I544"/>
    </row>
    <row r="545" spans="9:9" x14ac:dyDescent="0.25">
      <c r="I545"/>
    </row>
    <row r="546" spans="9:9" x14ac:dyDescent="0.25">
      <c r="I546"/>
    </row>
    <row r="547" spans="9:9" x14ac:dyDescent="0.25">
      <c r="I547"/>
    </row>
    <row r="548" spans="9:9" x14ac:dyDescent="0.25">
      <c r="I548"/>
    </row>
    <row r="549" spans="9:9" x14ac:dyDescent="0.25">
      <c r="I549"/>
    </row>
    <row r="550" spans="9:9" x14ac:dyDescent="0.25">
      <c r="I550"/>
    </row>
    <row r="551" spans="9:9" x14ac:dyDescent="0.25">
      <c r="I551"/>
    </row>
    <row r="552" spans="9:9" x14ac:dyDescent="0.25">
      <c r="I552"/>
    </row>
    <row r="553" spans="9:9" x14ac:dyDescent="0.25">
      <c r="I553"/>
    </row>
    <row r="554" spans="9:9" x14ac:dyDescent="0.25">
      <c r="I554"/>
    </row>
    <row r="555" spans="9:9" x14ac:dyDescent="0.25">
      <c r="I555"/>
    </row>
    <row r="556" spans="9:9" x14ac:dyDescent="0.25">
      <c r="I556"/>
    </row>
    <row r="557" spans="9:9" x14ac:dyDescent="0.25">
      <c r="I557"/>
    </row>
    <row r="558" spans="9:9" x14ac:dyDescent="0.25">
      <c r="I558"/>
    </row>
    <row r="559" spans="9:9" x14ac:dyDescent="0.25">
      <c r="I559"/>
    </row>
    <row r="560" spans="9:9" x14ac:dyDescent="0.25">
      <c r="I560"/>
    </row>
    <row r="561" spans="9:9" x14ac:dyDescent="0.25">
      <c r="I561"/>
    </row>
    <row r="562" spans="9:9" x14ac:dyDescent="0.25">
      <c r="I562"/>
    </row>
    <row r="563" spans="9:9" x14ac:dyDescent="0.25">
      <c r="I563"/>
    </row>
    <row r="564" spans="9:9" x14ac:dyDescent="0.25">
      <c r="I564"/>
    </row>
    <row r="565" spans="9:9" x14ac:dyDescent="0.25">
      <c r="I565"/>
    </row>
    <row r="566" spans="9:9" x14ac:dyDescent="0.25">
      <c r="I566"/>
    </row>
    <row r="567" spans="9:9" x14ac:dyDescent="0.25">
      <c r="I567"/>
    </row>
    <row r="568" spans="9:9" x14ac:dyDescent="0.25">
      <c r="I568"/>
    </row>
    <row r="569" spans="9:9" x14ac:dyDescent="0.25">
      <c r="I569"/>
    </row>
    <row r="570" spans="9:9" x14ac:dyDescent="0.25">
      <c r="I570"/>
    </row>
    <row r="571" spans="9:9" x14ac:dyDescent="0.25">
      <c r="I571"/>
    </row>
    <row r="572" spans="9:9" x14ac:dyDescent="0.25">
      <c r="I572"/>
    </row>
    <row r="573" spans="9:9" x14ac:dyDescent="0.25">
      <c r="I573"/>
    </row>
    <row r="574" spans="9:9" x14ac:dyDescent="0.25">
      <c r="I574"/>
    </row>
    <row r="575" spans="9:9" x14ac:dyDescent="0.25">
      <c r="I575"/>
    </row>
    <row r="576" spans="9:9" x14ac:dyDescent="0.25">
      <c r="I576"/>
    </row>
    <row r="577" spans="9:9" x14ac:dyDescent="0.25">
      <c r="I577"/>
    </row>
    <row r="578" spans="9:9" x14ac:dyDescent="0.25">
      <c r="I578"/>
    </row>
    <row r="579" spans="9:9" x14ac:dyDescent="0.25">
      <c r="I579"/>
    </row>
    <row r="580" spans="9:9" x14ac:dyDescent="0.25">
      <c r="I580"/>
    </row>
    <row r="581" spans="9:9" x14ac:dyDescent="0.25">
      <c r="I581"/>
    </row>
    <row r="582" spans="9:9" x14ac:dyDescent="0.25">
      <c r="I582"/>
    </row>
    <row r="583" spans="9:9" x14ac:dyDescent="0.25">
      <c r="I583"/>
    </row>
    <row r="584" spans="9:9" x14ac:dyDescent="0.25">
      <c r="I584"/>
    </row>
    <row r="585" spans="9:9" x14ac:dyDescent="0.25">
      <c r="I585"/>
    </row>
    <row r="586" spans="9:9" x14ac:dyDescent="0.25">
      <c r="I586"/>
    </row>
    <row r="587" spans="9:9" x14ac:dyDescent="0.25">
      <c r="I587"/>
    </row>
    <row r="588" spans="9:9" x14ac:dyDescent="0.25">
      <c r="I588"/>
    </row>
    <row r="589" spans="9:9" x14ac:dyDescent="0.25">
      <c r="I589"/>
    </row>
    <row r="590" spans="9:9" x14ac:dyDescent="0.25">
      <c r="I590"/>
    </row>
    <row r="591" spans="9:9" x14ac:dyDescent="0.25">
      <c r="I591"/>
    </row>
    <row r="592" spans="9:9" x14ac:dyDescent="0.25">
      <c r="I592"/>
    </row>
    <row r="593" spans="9:9" x14ac:dyDescent="0.25">
      <c r="I593"/>
    </row>
    <row r="594" spans="9:9" x14ac:dyDescent="0.25">
      <c r="I594"/>
    </row>
    <row r="595" spans="9:9" x14ac:dyDescent="0.25">
      <c r="I595"/>
    </row>
    <row r="596" spans="9:9" x14ac:dyDescent="0.25">
      <c r="I596"/>
    </row>
    <row r="597" spans="9:9" x14ac:dyDescent="0.25">
      <c r="I597"/>
    </row>
    <row r="598" spans="9:9" x14ac:dyDescent="0.25">
      <c r="I598"/>
    </row>
    <row r="599" spans="9:9" x14ac:dyDescent="0.25">
      <c r="I599"/>
    </row>
    <row r="600" spans="9:9" x14ac:dyDescent="0.25">
      <c r="I600"/>
    </row>
    <row r="601" spans="9:9" x14ac:dyDescent="0.25">
      <c r="I601"/>
    </row>
    <row r="602" spans="9:9" x14ac:dyDescent="0.25">
      <c r="I602"/>
    </row>
    <row r="603" spans="9:9" x14ac:dyDescent="0.25">
      <c r="I603"/>
    </row>
    <row r="604" spans="9:9" x14ac:dyDescent="0.25">
      <c r="I604"/>
    </row>
    <row r="605" spans="9:9" x14ac:dyDescent="0.25">
      <c r="I605"/>
    </row>
    <row r="606" spans="9:9" x14ac:dyDescent="0.25">
      <c r="I606"/>
    </row>
    <row r="607" spans="9:9" x14ac:dyDescent="0.25">
      <c r="I607"/>
    </row>
    <row r="608" spans="9:9" x14ac:dyDescent="0.25">
      <c r="I608"/>
    </row>
    <row r="609" spans="9:9" x14ac:dyDescent="0.25">
      <c r="I609"/>
    </row>
    <row r="610" spans="9:9" x14ac:dyDescent="0.25">
      <c r="I610"/>
    </row>
    <row r="611" spans="9:9" x14ac:dyDescent="0.25">
      <c r="I611"/>
    </row>
    <row r="612" spans="9:9" x14ac:dyDescent="0.25">
      <c r="I612"/>
    </row>
    <row r="613" spans="9:9" x14ac:dyDescent="0.25">
      <c r="I613"/>
    </row>
    <row r="614" spans="9:9" x14ac:dyDescent="0.25">
      <c r="I614"/>
    </row>
    <row r="615" spans="9:9" x14ac:dyDescent="0.25">
      <c r="I615"/>
    </row>
    <row r="616" spans="9:9" x14ac:dyDescent="0.25">
      <c r="I616"/>
    </row>
    <row r="617" spans="9:9" x14ac:dyDescent="0.25">
      <c r="I617"/>
    </row>
    <row r="618" spans="9:9" x14ac:dyDescent="0.25">
      <c r="I618"/>
    </row>
    <row r="619" spans="9:9" x14ac:dyDescent="0.25">
      <c r="I619"/>
    </row>
    <row r="620" spans="9:9" x14ac:dyDescent="0.25">
      <c r="I620"/>
    </row>
    <row r="621" spans="9:9" x14ac:dyDescent="0.25">
      <c r="I621"/>
    </row>
    <row r="622" spans="9:9" x14ac:dyDescent="0.25">
      <c r="I622"/>
    </row>
    <row r="623" spans="9:9" x14ac:dyDescent="0.25">
      <c r="I623"/>
    </row>
    <row r="624" spans="9:9" x14ac:dyDescent="0.25">
      <c r="I624"/>
    </row>
    <row r="625" spans="9:9" x14ac:dyDescent="0.25">
      <c r="I625"/>
    </row>
    <row r="626" spans="9:9" x14ac:dyDescent="0.25">
      <c r="I626"/>
    </row>
    <row r="627" spans="9:9" x14ac:dyDescent="0.25">
      <c r="I627"/>
    </row>
    <row r="628" spans="9:9" x14ac:dyDescent="0.25">
      <c r="I628"/>
    </row>
    <row r="629" spans="9:9" x14ac:dyDescent="0.25">
      <c r="I629"/>
    </row>
    <row r="630" spans="9:9" x14ac:dyDescent="0.25">
      <c r="I630"/>
    </row>
    <row r="631" spans="9:9" x14ac:dyDescent="0.25">
      <c r="I631"/>
    </row>
    <row r="632" spans="9:9" x14ac:dyDescent="0.25">
      <c r="I632"/>
    </row>
    <row r="633" spans="9:9" x14ac:dyDescent="0.25">
      <c r="I633"/>
    </row>
    <row r="634" spans="9:9" x14ac:dyDescent="0.25">
      <c r="I634"/>
    </row>
    <row r="635" spans="9:9" x14ac:dyDescent="0.25">
      <c r="I635"/>
    </row>
    <row r="636" spans="9:9" x14ac:dyDescent="0.25">
      <c r="I636"/>
    </row>
    <row r="637" spans="9:9" x14ac:dyDescent="0.25">
      <c r="I637"/>
    </row>
    <row r="638" spans="9:9" x14ac:dyDescent="0.25">
      <c r="I638"/>
    </row>
    <row r="639" spans="9:9" x14ac:dyDescent="0.25">
      <c r="I639"/>
    </row>
    <row r="640" spans="9:9" x14ac:dyDescent="0.25">
      <c r="I640"/>
    </row>
    <row r="641" spans="9:9" x14ac:dyDescent="0.25">
      <c r="I641"/>
    </row>
    <row r="642" spans="9:9" x14ac:dyDescent="0.25">
      <c r="I642"/>
    </row>
    <row r="643" spans="9:9" x14ac:dyDescent="0.25">
      <c r="I643"/>
    </row>
    <row r="644" spans="9:9" x14ac:dyDescent="0.25">
      <c r="I644"/>
    </row>
    <row r="645" spans="9:9" x14ac:dyDescent="0.25">
      <c r="I645"/>
    </row>
    <row r="646" spans="9:9" x14ac:dyDescent="0.25">
      <c r="I646"/>
    </row>
    <row r="647" spans="9:9" x14ac:dyDescent="0.25">
      <c r="I647"/>
    </row>
    <row r="648" spans="9:9" x14ac:dyDescent="0.25">
      <c r="I648"/>
    </row>
    <row r="649" spans="9:9" x14ac:dyDescent="0.25">
      <c r="I649"/>
    </row>
    <row r="650" spans="9:9" x14ac:dyDescent="0.25">
      <c r="I650"/>
    </row>
    <row r="651" spans="9:9" x14ac:dyDescent="0.25">
      <c r="I651"/>
    </row>
    <row r="652" spans="9:9" x14ac:dyDescent="0.25">
      <c r="I652"/>
    </row>
    <row r="653" spans="9:9" x14ac:dyDescent="0.25">
      <c r="I653"/>
    </row>
    <row r="654" spans="9:9" x14ac:dyDescent="0.25">
      <c r="I654"/>
    </row>
    <row r="655" spans="9:9" x14ac:dyDescent="0.25">
      <c r="I655"/>
    </row>
    <row r="656" spans="9:9" x14ac:dyDescent="0.25">
      <c r="I656"/>
    </row>
    <row r="657" spans="9:9" x14ac:dyDescent="0.25">
      <c r="I657"/>
    </row>
    <row r="658" spans="9:9" x14ac:dyDescent="0.25">
      <c r="I658"/>
    </row>
    <row r="659" spans="9:9" x14ac:dyDescent="0.25">
      <c r="I659"/>
    </row>
    <row r="660" spans="9:9" x14ac:dyDescent="0.25">
      <c r="I660"/>
    </row>
    <row r="661" spans="9:9" x14ac:dyDescent="0.25">
      <c r="I661"/>
    </row>
    <row r="662" spans="9:9" x14ac:dyDescent="0.25">
      <c r="I662"/>
    </row>
    <row r="663" spans="9:9" x14ac:dyDescent="0.25">
      <c r="I663"/>
    </row>
    <row r="664" spans="9:9" x14ac:dyDescent="0.25">
      <c r="I664"/>
    </row>
    <row r="665" spans="9:9" x14ac:dyDescent="0.25">
      <c r="I665"/>
    </row>
    <row r="666" spans="9:9" x14ac:dyDescent="0.25">
      <c r="I666"/>
    </row>
    <row r="667" spans="9:9" x14ac:dyDescent="0.25">
      <c r="I667"/>
    </row>
    <row r="668" spans="9:9" x14ac:dyDescent="0.25">
      <c r="I668"/>
    </row>
    <row r="669" spans="9:9" x14ac:dyDescent="0.25">
      <c r="I669"/>
    </row>
    <row r="670" spans="9:9" x14ac:dyDescent="0.25">
      <c r="I670"/>
    </row>
    <row r="671" spans="9:9" x14ac:dyDescent="0.25">
      <c r="I671"/>
    </row>
    <row r="672" spans="9:9" x14ac:dyDescent="0.25">
      <c r="I672"/>
    </row>
    <row r="673" spans="9:9" x14ac:dyDescent="0.25">
      <c r="I673"/>
    </row>
    <row r="674" spans="9:9" x14ac:dyDescent="0.25">
      <c r="I674"/>
    </row>
    <row r="675" spans="9:9" x14ac:dyDescent="0.25">
      <c r="I675"/>
    </row>
    <row r="676" spans="9:9" x14ac:dyDescent="0.25">
      <c r="I676"/>
    </row>
    <row r="677" spans="9:9" x14ac:dyDescent="0.25">
      <c r="I677"/>
    </row>
    <row r="678" spans="9:9" x14ac:dyDescent="0.25">
      <c r="I678"/>
    </row>
    <row r="679" spans="9:9" x14ac:dyDescent="0.25">
      <c r="I679"/>
    </row>
    <row r="680" spans="9:9" x14ac:dyDescent="0.25">
      <c r="I680"/>
    </row>
    <row r="681" spans="9:9" x14ac:dyDescent="0.25">
      <c r="I681"/>
    </row>
    <row r="682" spans="9:9" x14ac:dyDescent="0.25">
      <c r="I682"/>
    </row>
    <row r="683" spans="9:9" x14ac:dyDescent="0.25">
      <c r="I683"/>
    </row>
    <row r="684" spans="9:9" x14ac:dyDescent="0.25">
      <c r="I684"/>
    </row>
    <row r="685" spans="9:9" x14ac:dyDescent="0.25">
      <c r="I685"/>
    </row>
    <row r="686" spans="9:9" x14ac:dyDescent="0.25">
      <c r="I686"/>
    </row>
    <row r="687" spans="9:9" x14ac:dyDescent="0.25">
      <c r="I687"/>
    </row>
    <row r="688" spans="9:9" x14ac:dyDescent="0.25">
      <c r="I688"/>
    </row>
    <row r="689" spans="9:9" x14ac:dyDescent="0.25">
      <c r="I689"/>
    </row>
    <row r="690" spans="9:9" x14ac:dyDescent="0.25">
      <c r="I690"/>
    </row>
    <row r="691" spans="9:9" x14ac:dyDescent="0.25">
      <c r="I691"/>
    </row>
    <row r="692" spans="9:9" x14ac:dyDescent="0.25">
      <c r="I692"/>
    </row>
    <row r="693" spans="9:9" x14ac:dyDescent="0.25">
      <c r="I693"/>
    </row>
    <row r="694" spans="9:9" x14ac:dyDescent="0.25">
      <c r="I694"/>
    </row>
    <row r="695" spans="9:9" x14ac:dyDescent="0.25">
      <c r="I695"/>
    </row>
    <row r="696" spans="9:9" x14ac:dyDescent="0.25">
      <c r="I696"/>
    </row>
    <row r="697" spans="9:9" x14ac:dyDescent="0.25">
      <c r="I697"/>
    </row>
    <row r="698" spans="9:9" x14ac:dyDescent="0.25">
      <c r="I698"/>
    </row>
    <row r="699" spans="9:9" x14ac:dyDescent="0.25">
      <c r="I699"/>
    </row>
    <row r="700" spans="9:9" x14ac:dyDescent="0.25">
      <c r="I700"/>
    </row>
    <row r="701" spans="9:9" x14ac:dyDescent="0.25">
      <c r="I701"/>
    </row>
    <row r="702" spans="9:9" x14ac:dyDescent="0.25">
      <c r="I702"/>
    </row>
    <row r="703" spans="9:9" x14ac:dyDescent="0.25">
      <c r="I703"/>
    </row>
    <row r="704" spans="9:9" x14ac:dyDescent="0.25">
      <c r="I704"/>
    </row>
    <row r="705" spans="9:9" x14ac:dyDescent="0.25">
      <c r="I705"/>
    </row>
    <row r="706" spans="9:9" x14ac:dyDescent="0.25">
      <c r="I706"/>
    </row>
    <row r="707" spans="9:9" x14ac:dyDescent="0.25">
      <c r="I707"/>
    </row>
    <row r="708" spans="9:9" x14ac:dyDescent="0.25">
      <c r="I708"/>
    </row>
    <row r="709" spans="9:9" x14ac:dyDescent="0.25">
      <c r="I709"/>
    </row>
    <row r="710" spans="9:9" x14ac:dyDescent="0.25">
      <c r="I710"/>
    </row>
    <row r="711" spans="9:9" x14ac:dyDescent="0.25">
      <c r="I711"/>
    </row>
    <row r="712" spans="9:9" x14ac:dyDescent="0.25">
      <c r="I712"/>
    </row>
    <row r="713" spans="9:9" x14ac:dyDescent="0.25">
      <c r="I713"/>
    </row>
    <row r="714" spans="9:9" x14ac:dyDescent="0.25">
      <c r="I714"/>
    </row>
    <row r="715" spans="9:9" x14ac:dyDescent="0.25">
      <c r="I715"/>
    </row>
    <row r="716" spans="9:9" x14ac:dyDescent="0.25">
      <c r="I716"/>
    </row>
    <row r="717" spans="9:9" x14ac:dyDescent="0.25">
      <c r="I717"/>
    </row>
    <row r="718" spans="9:9" x14ac:dyDescent="0.25">
      <c r="I718"/>
    </row>
    <row r="719" spans="9:9" x14ac:dyDescent="0.25">
      <c r="I719"/>
    </row>
    <row r="720" spans="9:9" x14ac:dyDescent="0.25">
      <c r="I720"/>
    </row>
    <row r="721" spans="9:9" x14ac:dyDescent="0.25">
      <c r="I721"/>
    </row>
    <row r="722" spans="9:9" x14ac:dyDescent="0.25">
      <c r="I722"/>
    </row>
    <row r="723" spans="9:9" x14ac:dyDescent="0.25">
      <c r="I723"/>
    </row>
    <row r="724" spans="9:9" x14ac:dyDescent="0.25">
      <c r="I724"/>
    </row>
    <row r="725" spans="9:9" x14ac:dyDescent="0.25">
      <c r="I725"/>
    </row>
    <row r="726" spans="9:9" x14ac:dyDescent="0.25">
      <c r="I726"/>
    </row>
    <row r="727" spans="9:9" x14ac:dyDescent="0.25">
      <c r="I727"/>
    </row>
    <row r="728" spans="9:9" x14ac:dyDescent="0.25">
      <c r="I728"/>
    </row>
    <row r="729" spans="9:9" x14ac:dyDescent="0.25">
      <c r="I729"/>
    </row>
    <row r="730" spans="9:9" x14ac:dyDescent="0.25">
      <c r="I730"/>
    </row>
    <row r="731" spans="9:9" x14ac:dyDescent="0.25">
      <c r="I731"/>
    </row>
    <row r="732" spans="9:9" x14ac:dyDescent="0.25">
      <c r="I732"/>
    </row>
    <row r="733" spans="9:9" x14ac:dyDescent="0.25">
      <c r="I733"/>
    </row>
    <row r="734" spans="9:9" x14ac:dyDescent="0.25">
      <c r="I734"/>
    </row>
    <row r="735" spans="9:9" x14ac:dyDescent="0.25">
      <c r="I735"/>
    </row>
    <row r="736" spans="9:9" x14ac:dyDescent="0.25">
      <c r="I736"/>
    </row>
    <row r="737" spans="9:9" x14ac:dyDescent="0.25">
      <c r="I737"/>
    </row>
    <row r="738" spans="9:9" x14ac:dyDescent="0.25">
      <c r="I738"/>
    </row>
    <row r="739" spans="9:9" x14ac:dyDescent="0.25">
      <c r="I739"/>
    </row>
    <row r="740" spans="9:9" x14ac:dyDescent="0.25">
      <c r="I740"/>
    </row>
    <row r="741" spans="9:9" x14ac:dyDescent="0.25">
      <c r="I741"/>
    </row>
    <row r="742" spans="9:9" x14ac:dyDescent="0.25">
      <c r="I742"/>
    </row>
    <row r="743" spans="9:9" x14ac:dyDescent="0.25">
      <c r="I743"/>
    </row>
    <row r="744" spans="9:9" x14ac:dyDescent="0.25">
      <c r="I744"/>
    </row>
    <row r="745" spans="9:9" x14ac:dyDescent="0.25">
      <c r="I745"/>
    </row>
    <row r="746" spans="9:9" x14ac:dyDescent="0.25">
      <c r="I746"/>
    </row>
    <row r="747" spans="9:9" x14ac:dyDescent="0.25">
      <c r="I747"/>
    </row>
    <row r="748" spans="9:9" x14ac:dyDescent="0.25">
      <c r="I748"/>
    </row>
    <row r="749" spans="9:9" x14ac:dyDescent="0.25">
      <c r="I749"/>
    </row>
    <row r="750" spans="9:9" x14ac:dyDescent="0.25">
      <c r="I750"/>
    </row>
    <row r="751" spans="9:9" x14ac:dyDescent="0.25">
      <c r="I751"/>
    </row>
    <row r="752" spans="9:9" x14ac:dyDescent="0.25">
      <c r="I752"/>
    </row>
    <row r="753" spans="9:9" x14ac:dyDescent="0.25">
      <c r="I753"/>
    </row>
    <row r="754" spans="9:9" x14ac:dyDescent="0.25">
      <c r="I754"/>
    </row>
    <row r="755" spans="9:9" x14ac:dyDescent="0.25">
      <c r="I755"/>
    </row>
    <row r="756" spans="9:9" x14ac:dyDescent="0.25">
      <c r="I756"/>
    </row>
    <row r="757" spans="9:9" x14ac:dyDescent="0.25">
      <c r="I757"/>
    </row>
    <row r="758" spans="9:9" x14ac:dyDescent="0.25">
      <c r="I758"/>
    </row>
    <row r="759" spans="9:9" x14ac:dyDescent="0.25">
      <c r="I759"/>
    </row>
    <row r="760" spans="9:9" x14ac:dyDescent="0.25">
      <c r="I760"/>
    </row>
    <row r="761" spans="9:9" x14ac:dyDescent="0.25">
      <c r="I761"/>
    </row>
    <row r="762" spans="9:9" x14ac:dyDescent="0.25">
      <c r="I762"/>
    </row>
    <row r="763" spans="9:9" x14ac:dyDescent="0.25">
      <c r="I763"/>
    </row>
    <row r="764" spans="9:9" x14ac:dyDescent="0.25">
      <c r="I764"/>
    </row>
    <row r="765" spans="9:9" x14ac:dyDescent="0.25">
      <c r="I765"/>
    </row>
    <row r="766" spans="9:9" x14ac:dyDescent="0.25">
      <c r="I766"/>
    </row>
    <row r="767" spans="9:9" x14ac:dyDescent="0.25">
      <c r="I767"/>
    </row>
    <row r="768" spans="9:9" x14ac:dyDescent="0.25">
      <c r="I768"/>
    </row>
    <row r="769" spans="9:9" x14ac:dyDescent="0.25">
      <c r="I769"/>
    </row>
    <row r="770" spans="9:9" x14ac:dyDescent="0.25">
      <c r="I770"/>
    </row>
    <row r="771" spans="9:9" x14ac:dyDescent="0.25">
      <c r="I771"/>
    </row>
    <row r="772" spans="9:9" x14ac:dyDescent="0.25">
      <c r="I772"/>
    </row>
    <row r="773" spans="9:9" x14ac:dyDescent="0.25">
      <c r="I773"/>
    </row>
    <row r="774" spans="9:9" x14ac:dyDescent="0.25">
      <c r="I774"/>
    </row>
    <row r="775" spans="9:9" x14ac:dyDescent="0.25">
      <c r="I775"/>
    </row>
    <row r="776" spans="9:9" x14ac:dyDescent="0.25">
      <c r="I776"/>
    </row>
    <row r="777" spans="9:9" x14ac:dyDescent="0.25">
      <c r="I777"/>
    </row>
    <row r="778" spans="9:9" x14ac:dyDescent="0.25">
      <c r="I778"/>
    </row>
    <row r="779" spans="9:9" x14ac:dyDescent="0.25">
      <c r="I779"/>
    </row>
    <row r="780" spans="9:9" x14ac:dyDescent="0.25">
      <c r="I780"/>
    </row>
    <row r="781" spans="9:9" x14ac:dyDescent="0.25">
      <c r="I781"/>
    </row>
    <row r="782" spans="9:9" x14ac:dyDescent="0.25">
      <c r="I782"/>
    </row>
    <row r="783" spans="9:9" x14ac:dyDescent="0.25">
      <c r="I783"/>
    </row>
    <row r="784" spans="9:9" x14ac:dyDescent="0.25">
      <c r="I784"/>
    </row>
    <row r="785" spans="9:9" x14ac:dyDescent="0.25">
      <c r="I785"/>
    </row>
    <row r="786" spans="9:9" x14ac:dyDescent="0.25">
      <c r="I786"/>
    </row>
    <row r="787" spans="9:9" x14ac:dyDescent="0.25">
      <c r="I787"/>
    </row>
    <row r="788" spans="9:9" x14ac:dyDescent="0.25">
      <c r="I788"/>
    </row>
    <row r="789" spans="9:9" x14ac:dyDescent="0.25">
      <c r="I789"/>
    </row>
    <row r="790" spans="9:9" x14ac:dyDescent="0.25">
      <c r="I790"/>
    </row>
    <row r="791" spans="9:9" x14ac:dyDescent="0.25">
      <c r="I791"/>
    </row>
    <row r="792" spans="9:9" x14ac:dyDescent="0.25">
      <c r="I792"/>
    </row>
    <row r="793" spans="9:9" x14ac:dyDescent="0.25">
      <c r="I793"/>
    </row>
    <row r="794" spans="9:9" x14ac:dyDescent="0.25">
      <c r="I794"/>
    </row>
    <row r="795" spans="9:9" x14ac:dyDescent="0.25">
      <c r="I795"/>
    </row>
    <row r="796" spans="9:9" x14ac:dyDescent="0.25">
      <c r="I796"/>
    </row>
    <row r="797" spans="9:9" x14ac:dyDescent="0.25">
      <c r="I797"/>
    </row>
    <row r="798" spans="9:9" x14ac:dyDescent="0.25">
      <c r="I798"/>
    </row>
    <row r="799" spans="9:9" x14ac:dyDescent="0.25">
      <c r="I799"/>
    </row>
    <row r="800" spans="9:9" x14ac:dyDescent="0.25">
      <c r="I800"/>
    </row>
    <row r="801" spans="9:9" x14ac:dyDescent="0.25">
      <c r="I801"/>
    </row>
    <row r="802" spans="9:9" x14ac:dyDescent="0.25">
      <c r="I802"/>
    </row>
    <row r="803" spans="9:9" x14ac:dyDescent="0.25">
      <c r="I803"/>
    </row>
    <row r="804" spans="9:9" x14ac:dyDescent="0.25">
      <c r="I804"/>
    </row>
    <row r="805" spans="9:9" x14ac:dyDescent="0.25">
      <c r="I805"/>
    </row>
    <row r="806" spans="9:9" x14ac:dyDescent="0.25">
      <c r="I806"/>
    </row>
    <row r="807" spans="9:9" x14ac:dyDescent="0.25">
      <c r="I807"/>
    </row>
    <row r="808" spans="9:9" x14ac:dyDescent="0.25">
      <c r="I808"/>
    </row>
    <row r="809" spans="9:9" x14ac:dyDescent="0.25">
      <c r="I809"/>
    </row>
    <row r="810" spans="9:9" x14ac:dyDescent="0.25">
      <c r="I810"/>
    </row>
    <row r="811" spans="9:9" x14ac:dyDescent="0.25">
      <c r="I811"/>
    </row>
    <row r="812" spans="9:9" x14ac:dyDescent="0.25">
      <c r="I812"/>
    </row>
    <row r="813" spans="9:9" x14ac:dyDescent="0.25">
      <c r="I813"/>
    </row>
    <row r="814" spans="9:9" x14ac:dyDescent="0.25">
      <c r="I814"/>
    </row>
    <row r="815" spans="9:9" x14ac:dyDescent="0.25">
      <c r="I815"/>
    </row>
    <row r="816" spans="9:9" x14ac:dyDescent="0.25">
      <c r="I816"/>
    </row>
    <row r="817" spans="9:9" x14ac:dyDescent="0.25">
      <c r="I817"/>
    </row>
    <row r="818" spans="9:9" x14ac:dyDescent="0.25">
      <c r="I818"/>
    </row>
    <row r="819" spans="9:9" x14ac:dyDescent="0.25">
      <c r="I819"/>
    </row>
    <row r="820" spans="9:9" x14ac:dyDescent="0.25">
      <c r="I820"/>
    </row>
    <row r="821" spans="9:9" x14ac:dyDescent="0.25">
      <c r="I821"/>
    </row>
    <row r="822" spans="9:9" x14ac:dyDescent="0.25">
      <c r="I822"/>
    </row>
    <row r="823" spans="9:9" x14ac:dyDescent="0.25">
      <c r="I823"/>
    </row>
    <row r="824" spans="9:9" x14ac:dyDescent="0.25">
      <c r="I824"/>
    </row>
    <row r="825" spans="9:9" x14ac:dyDescent="0.25">
      <c r="I825"/>
    </row>
    <row r="826" spans="9:9" x14ac:dyDescent="0.25">
      <c r="I826"/>
    </row>
    <row r="827" spans="9:9" x14ac:dyDescent="0.25">
      <c r="I827"/>
    </row>
    <row r="828" spans="9:9" x14ac:dyDescent="0.25">
      <c r="I828"/>
    </row>
    <row r="829" spans="9:9" x14ac:dyDescent="0.25">
      <c r="I829"/>
    </row>
    <row r="830" spans="9:9" x14ac:dyDescent="0.25">
      <c r="I830"/>
    </row>
    <row r="831" spans="9:9" x14ac:dyDescent="0.25">
      <c r="I831"/>
    </row>
    <row r="832" spans="9:9" x14ac:dyDescent="0.25">
      <c r="I832"/>
    </row>
    <row r="833" spans="9:9" x14ac:dyDescent="0.25">
      <c r="I833"/>
    </row>
    <row r="834" spans="9:9" x14ac:dyDescent="0.25">
      <c r="I834"/>
    </row>
    <row r="835" spans="9:9" x14ac:dyDescent="0.25">
      <c r="I835"/>
    </row>
    <row r="836" spans="9:9" x14ac:dyDescent="0.25">
      <c r="I836"/>
    </row>
    <row r="837" spans="9:9" x14ac:dyDescent="0.25">
      <c r="I837"/>
    </row>
    <row r="838" spans="9:9" x14ac:dyDescent="0.25">
      <c r="I838"/>
    </row>
    <row r="839" spans="9:9" x14ac:dyDescent="0.25">
      <c r="I839"/>
    </row>
    <row r="840" spans="9:9" x14ac:dyDescent="0.25">
      <c r="I840"/>
    </row>
    <row r="841" spans="9:9" x14ac:dyDescent="0.25">
      <c r="I841"/>
    </row>
    <row r="842" spans="9:9" x14ac:dyDescent="0.25">
      <c r="I842"/>
    </row>
    <row r="843" spans="9:9" x14ac:dyDescent="0.25">
      <c r="I843"/>
    </row>
    <row r="844" spans="9:9" x14ac:dyDescent="0.25">
      <c r="I844"/>
    </row>
    <row r="845" spans="9:9" x14ac:dyDescent="0.25">
      <c r="I845"/>
    </row>
    <row r="846" spans="9:9" x14ac:dyDescent="0.25">
      <c r="I846"/>
    </row>
    <row r="847" spans="9:9" x14ac:dyDescent="0.25">
      <c r="I847"/>
    </row>
    <row r="848" spans="9:9" x14ac:dyDescent="0.25">
      <c r="I848"/>
    </row>
    <row r="849" spans="9:9" x14ac:dyDescent="0.25">
      <c r="I849"/>
    </row>
    <row r="850" spans="9:9" x14ac:dyDescent="0.25">
      <c r="I850"/>
    </row>
    <row r="851" spans="9:9" x14ac:dyDescent="0.25">
      <c r="I851"/>
    </row>
    <row r="852" spans="9:9" x14ac:dyDescent="0.25">
      <c r="I852"/>
    </row>
    <row r="853" spans="9:9" x14ac:dyDescent="0.25">
      <c r="I853"/>
    </row>
    <row r="854" spans="9:9" x14ac:dyDescent="0.25">
      <c r="I854"/>
    </row>
    <row r="855" spans="9:9" x14ac:dyDescent="0.25">
      <c r="I855"/>
    </row>
    <row r="856" spans="9:9" x14ac:dyDescent="0.25">
      <c r="I856"/>
    </row>
    <row r="857" spans="9:9" x14ac:dyDescent="0.25">
      <c r="I857"/>
    </row>
    <row r="858" spans="9:9" x14ac:dyDescent="0.25">
      <c r="I858"/>
    </row>
    <row r="859" spans="9:9" x14ac:dyDescent="0.25">
      <c r="I859"/>
    </row>
    <row r="860" spans="9:9" x14ac:dyDescent="0.25">
      <c r="I860"/>
    </row>
    <row r="861" spans="9:9" x14ac:dyDescent="0.25">
      <c r="I861"/>
    </row>
    <row r="862" spans="9:9" x14ac:dyDescent="0.25">
      <c r="I862"/>
    </row>
    <row r="863" spans="9:9" x14ac:dyDescent="0.25">
      <c r="I863"/>
    </row>
    <row r="864" spans="9:9" x14ac:dyDescent="0.25">
      <c r="I864"/>
    </row>
    <row r="865" spans="9:9" x14ac:dyDescent="0.25">
      <c r="I865"/>
    </row>
    <row r="866" spans="9:9" x14ac:dyDescent="0.25">
      <c r="I866"/>
    </row>
    <row r="867" spans="9:9" x14ac:dyDescent="0.25">
      <c r="I867"/>
    </row>
    <row r="868" spans="9:9" x14ac:dyDescent="0.25">
      <c r="I868"/>
    </row>
    <row r="869" spans="9:9" x14ac:dyDescent="0.25">
      <c r="I869"/>
    </row>
    <row r="870" spans="9:9" x14ac:dyDescent="0.25">
      <c r="I870"/>
    </row>
    <row r="871" spans="9:9" x14ac:dyDescent="0.25">
      <c r="I871"/>
    </row>
    <row r="872" spans="9:9" x14ac:dyDescent="0.25">
      <c r="I872"/>
    </row>
    <row r="873" spans="9:9" x14ac:dyDescent="0.25">
      <c r="I873"/>
    </row>
    <row r="874" spans="9:9" x14ac:dyDescent="0.25">
      <c r="I874"/>
    </row>
    <row r="875" spans="9:9" x14ac:dyDescent="0.25">
      <c r="I875"/>
    </row>
    <row r="876" spans="9:9" x14ac:dyDescent="0.25">
      <c r="I876"/>
    </row>
    <row r="877" spans="9:9" x14ac:dyDescent="0.25">
      <c r="I877"/>
    </row>
    <row r="878" spans="9:9" x14ac:dyDescent="0.25">
      <c r="I878"/>
    </row>
    <row r="879" spans="9:9" x14ac:dyDescent="0.25">
      <c r="I879"/>
    </row>
    <row r="880" spans="9:9" x14ac:dyDescent="0.25">
      <c r="I880"/>
    </row>
    <row r="881" spans="9:9" x14ac:dyDescent="0.25">
      <c r="I881"/>
    </row>
    <row r="882" spans="9:9" x14ac:dyDescent="0.25">
      <c r="I882"/>
    </row>
    <row r="883" spans="9:9" x14ac:dyDescent="0.25">
      <c r="I883"/>
    </row>
    <row r="884" spans="9:9" x14ac:dyDescent="0.25">
      <c r="I884"/>
    </row>
    <row r="885" spans="9:9" x14ac:dyDescent="0.25">
      <c r="I885"/>
    </row>
    <row r="886" spans="9:9" x14ac:dyDescent="0.25">
      <c r="I886"/>
    </row>
    <row r="887" spans="9:9" x14ac:dyDescent="0.25">
      <c r="I887"/>
    </row>
    <row r="888" spans="9:9" x14ac:dyDescent="0.25">
      <c r="I888"/>
    </row>
    <row r="889" spans="9:9" x14ac:dyDescent="0.25">
      <c r="I889"/>
    </row>
    <row r="890" spans="9:9" x14ac:dyDescent="0.25">
      <c r="I890"/>
    </row>
    <row r="891" spans="9:9" x14ac:dyDescent="0.25">
      <c r="I891"/>
    </row>
    <row r="892" spans="9:9" x14ac:dyDescent="0.25">
      <c r="I892"/>
    </row>
    <row r="893" spans="9:9" x14ac:dyDescent="0.25">
      <c r="I893"/>
    </row>
    <row r="894" spans="9:9" x14ac:dyDescent="0.25">
      <c r="I894"/>
    </row>
    <row r="895" spans="9:9" x14ac:dyDescent="0.25">
      <c r="I895"/>
    </row>
    <row r="896" spans="9:9" x14ac:dyDescent="0.25">
      <c r="I896"/>
    </row>
    <row r="897" spans="9:9" x14ac:dyDescent="0.25">
      <c r="I897"/>
    </row>
    <row r="898" spans="9:9" x14ac:dyDescent="0.25">
      <c r="I898"/>
    </row>
    <row r="899" spans="9:9" x14ac:dyDescent="0.25">
      <c r="I899"/>
    </row>
    <row r="900" spans="9:9" x14ac:dyDescent="0.25">
      <c r="I900"/>
    </row>
    <row r="901" spans="9:9" x14ac:dyDescent="0.25">
      <c r="I901"/>
    </row>
    <row r="902" spans="9:9" x14ac:dyDescent="0.25">
      <c r="I902"/>
    </row>
    <row r="903" spans="9:9" x14ac:dyDescent="0.25">
      <c r="I903"/>
    </row>
    <row r="904" spans="9:9" x14ac:dyDescent="0.25">
      <c r="I904"/>
    </row>
    <row r="905" spans="9:9" x14ac:dyDescent="0.25">
      <c r="I905"/>
    </row>
    <row r="906" spans="9:9" x14ac:dyDescent="0.25">
      <c r="I906"/>
    </row>
    <row r="907" spans="9:9" x14ac:dyDescent="0.25">
      <c r="I907"/>
    </row>
    <row r="908" spans="9:9" x14ac:dyDescent="0.25">
      <c r="I908"/>
    </row>
    <row r="909" spans="9:9" x14ac:dyDescent="0.25">
      <c r="I909"/>
    </row>
    <row r="910" spans="9:9" x14ac:dyDescent="0.25">
      <c r="I910"/>
    </row>
    <row r="911" spans="9:9" x14ac:dyDescent="0.25">
      <c r="I911"/>
    </row>
    <row r="912" spans="9:9" x14ac:dyDescent="0.25">
      <c r="I912"/>
    </row>
    <row r="913" spans="9:9" x14ac:dyDescent="0.25">
      <c r="I913"/>
    </row>
    <row r="914" spans="9:9" x14ac:dyDescent="0.25">
      <c r="I914"/>
    </row>
    <row r="915" spans="9:9" x14ac:dyDescent="0.25">
      <c r="I915"/>
    </row>
    <row r="916" spans="9:9" x14ac:dyDescent="0.25">
      <c r="I916"/>
    </row>
    <row r="917" spans="9:9" x14ac:dyDescent="0.25">
      <c r="I917"/>
    </row>
    <row r="918" spans="9:9" x14ac:dyDescent="0.25">
      <c r="I918"/>
    </row>
    <row r="919" spans="9:9" x14ac:dyDescent="0.25">
      <c r="I919"/>
    </row>
    <row r="920" spans="9:9" x14ac:dyDescent="0.25">
      <c r="I920"/>
    </row>
    <row r="921" spans="9:9" x14ac:dyDescent="0.25">
      <c r="I921"/>
    </row>
    <row r="922" spans="9:9" x14ac:dyDescent="0.25">
      <c r="I922"/>
    </row>
    <row r="923" spans="9:9" x14ac:dyDescent="0.25">
      <c r="I923"/>
    </row>
    <row r="924" spans="9:9" x14ac:dyDescent="0.25">
      <c r="I924"/>
    </row>
    <row r="925" spans="9:9" x14ac:dyDescent="0.25">
      <c r="I925"/>
    </row>
    <row r="926" spans="9:9" x14ac:dyDescent="0.25">
      <c r="I926"/>
    </row>
    <row r="927" spans="9:9" x14ac:dyDescent="0.25">
      <c r="I927"/>
    </row>
    <row r="928" spans="9:9" x14ac:dyDescent="0.25">
      <c r="I928"/>
    </row>
    <row r="929" spans="9:9" x14ac:dyDescent="0.25">
      <c r="I929"/>
    </row>
    <row r="930" spans="9:9" x14ac:dyDescent="0.25">
      <c r="I930"/>
    </row>
    <row r="931" spans="9:9" x14ac:dyDescent="0.25">
      <c r="I931"/>
    </row>
    <row r="932" spans="9:9" x14ac:dyDescent="0.25">
      <c r="I932"/>
    </row>
    <row r="933" spans="9:9" x14ac:dyDescent="0.25">
      <c r="I933"/>
    </row>
    <row r="934" spans="9:9" x14ac:dyDescent="0.25">
      <c r="I934"/>
    </row>
    <row r="935" spans="9:9" x14ac:dyDescent="0.25">
      <c r="I935"/>
    </row>
    <row r="936" spans="9:9" x14ac:dyDescent="0.25">
      <c r="I936"/>
    </row>
    <row r="937" spans="9:9" x14ac:dyDescent="0.25">
      <c r="I937"/>
    </row>
    <row r="938" spans="9:9" x14ac:dyDescent="0.25">
      <c r="I938"/>
    </row>
    <row r="939" spans="9:9" x14ac:dyDescent="0.25">
      <c r="I939"/>
    </row>
    <row r="940" spans="9:9" x14ac:dyDescent="0.25">
      <c r="I940"/>
    </row>
    <row r="941" spans="9:9" x14ac:dyDescent="0.25">
      <c r="I941"/>
    </row>
    <row r="942" spans="9:9" x14ac:dyDescent="0.25">
      <c r="I942"/>
    </row>
    <row r="943" spans="9:9" x14ac:dyDescent="0.25">
      <c r="I943"/>
    </row>
    <row r="944" spans="9:9" x14ac:dyDescent="0.25">
      <c r="I944"/>
    </row>
    <row r="945" spans="9:9" x14ac:dyDescent="0.25">
      <c r="I945"/>
    </row>
    <row r="946" spans="9:9" x14ac:dyDescent="0.25">
      <c r="I946"/>
    </row>
    <row r="947" spans="9:9" x14ac:dyDescent="0.25">
      <c r="I947"/>
    </row>
    <row r="948" spans="9:9" x14ac:dyDescent="0.25">
      <c r="I948"/>
    </row>
    <row r="949" spans="9:9" x14ac:dyDescent="0.25">
      <c r="I949"/>
    </row>
    <row r="950" spans="9:9" x14ac:dyDescent="0.25">
      <c r="I950"/>
    </row>
    <row r="951" spans="9:9" x14ac:dyDescent="0.25">
      <c r="I951"/>
    </row>
    <row r="952" spans="9:9" x14ac:dyDescent="0.25">
      <c r="I952"/>
    </row>
    <row r="953" spans="9:9" x14ac:dyDescent="0.25">
      <c r="I953"/>
    </row>
    <row r="954" spans="9:9" x14ac:dyDescent="0.25">
      <c r="I954"/>
    </row>
    <row r="955" spans="9:9" x14ac:dyDescent="0.25">
      <c r="I955"/>
    </row>
    <row r="956" spans="9:9" x14ac:dyDescent="0.25">
      <c r="I956"/>
    </row>
    <row r="957" spans="9:9" x14ac:dyDescent="0.25">
      <c r="I957"/>
    </row>
    <row r="958" spans="9:9" x14ac:dyDescent="0.25">
      <c r="I958"/>
    </row>
    <row r="959" spans="9:9" x14ac:dyDescent="0.25">
      <c r="I959"/>
    </row>
    <row r="960" spans="9:9" x14ac:dyDescent="0.25">
      <c r="I960"/>
    </row>
    <row r="961" spans="9:9" x14ac:dyDescent="0.25">
      <c r="I961"/>
    </row>
    <row r="962" spans="9:9" x14ac:dyDescent="0.25">
      <c r="I962"/>
    </row>
    <row r="963" spans="9:9" x14ac:dyDescent="0.25">
      <c r="I963"/>
    </row>
    <row r="964" spans="9:9" x14ac:dyDescent="0.25">
      <c r="I964"/>
    </row>
    <row r="965" spans="9:9" x14ac:dyDescent="0.25">
      <c r="I965"/>
    </row>
    <row r="966" spans="9:9" x14ac:dyDescent="0.25">
      <c r="I966"/>
    </row>
    <row r="967" spans="9:9" x14ac:dyDescent="0.25">
      <c r="I967"/>
    </row>
    <row r="968" spans="9:9" x14ac:dyDescent="0.25">
      <c r="I968"/>
    </row>
    <row r="969" spans="9:9" x14ac:dyDescent="0.25">
      <c r="I969"/>
    </row>
    <row r="970" spans="9:9" x14ac:dyDescent="0.25">
      <c r="I970"/>
    </row>
    <row r="971" spans="9:9" x14ac:dyDescent="0.25">
      <c r="I971"/>
    </row>
    <row r="972" spans="9:9" x14ac:dyDescent="0.25">
      <c r="I972"/>
    </row>
    <row r="973" spans="9:9" x14ac:dyDescent="0.25">
      <c r="I973"/>
    </row>
    <row r="974" spans="9:9" x14ac:dyDescent="0.25">
      <c r="I974"/>
    </row>
    <row r="975" spans="9:9" x14ac:dyDescent="0.25">
      <c r="I975"/>
    </row>
    <row r="976" spans="9:9" x14ac:dyDescent="0.25">
      <c r="I976"/>
    </row>
    <row r="977" spans="9:9" x14ac:dyDescent="0.25">
      <c r="I977"/>
    </row>
    <row r="978" spans="9:9" x14ac:dyDescent="0.25">
      <c r="I978"/>
    </row>
    <row r="979" spans="9:9" x14ac:dyDescent="0.25">
      <c r="I979"/>
    </row>
    <row r="980" spans="9:9" x14ac:dyDescent="0.25">
      <c r="I980"/>
    </row>
    <row r="981" spans="9:9" x14ac:dyDescent="0.25">
      <c r="I981"/>
    </row>
    <row r="982" spans="9:9" x14ac:dyDescent="0.25">
      <c r="I982"/>
    </row>
    <row r="983" spans="9:9" x14ac:dyDescent="0.25">
      <c r="I983"/>
    </row>
    <row r="984" spans="9:9" x14ac:dyDescent="0.25">
      <c r="I984"/>
    </row>
    <row r="985" spans="9:9" x14ac:dyDescent="0.25">
      <c r="I985"/>
    </row>
    <row r="986" spans="9:9" x14ac:dyDescent="0.25">
      <c r="I986"/>
    </row>
    <row r="987" spans="9:9" x14ac:dyDescent="0.25">
      <c r="I987"/>
    </row>
    <row r="988" spans="9:9" x14ac:dyDescent="0.25">
      <c r="I988"/>
    </row>
    <row r="989" spans="9:9" x14ac:dyDescent="0.25">
      <c r="I989"/>
    </row>
    <row r="990" spans="9:9" x14ac:dyDescent="0.25">
      <c r="I990"/>
    </row>
    <row r="991" spans="9:9" x14ac:dyDescent="0.25">
      <c r="I991"/>
    </row>
    <row r="992" spans="9:9" x14ac:dyDescent="0.25">
      <c r="I992"/>
    </row>
    <row r="993" spans="9:9" x14ac:dyDescent="0.25">
      <c r="I993"/>
    </row>
    <row r="994" spans="9:9" x14ac:dyDescent="0.25">
      <c r="I994"/>
    </row>
    <row r="995" spans="9:9" x14ac:dyDescent="0.25">
      <c r="I995"/>
    </row>
    <row r="996" spans="9:9" x14ac:dyDescent="0.25">
      <c r="I996"/>
    </row>
    <row r="997" spans="9:9" x14ac:dyDescent="0.25">
      <c r="I997"/>
    </row>
    <row r="998" spans="9:9" x14ac:dyDescent="0.25">
      <c r="I998"/>
    </row>
    <row r="999" spans="9:9" x14ac:dyDescent="0.25">
      <c r="I999"/>
    </row>
    <row r="1000" spans="9:9" x14ac:dyDescent="0.25">
      <c r="I1000"/>
    </row>
    <row r="1001" spans="9:9" x14ac:dyDescent="0.25">
      <c r="I1001"/>
    </row>
    <row r="1002" spans="9:9" x14ac:dyDescent="0.25">
      <c r="I1002"/>
    </row>
    <row r="1003" spans="9:9" x14ac:dyDescent="0.25">
      <c r="I1003"/>
    </row>
    <row r="1004" spans="9:9" x14ac:dyDescent="0.25">
      <c r="I1004"/>
    </row>
    <row r="1005" spans="9:9" x14ac:dyDescent="0.25">
      <c r="I1005"/>
    </row>
    <row r="1006" spans="9:9" x14ac:dyDescent="0.25">
      <c r="I1006"/>
    </row>
    <row r="1007" spans="9:9" x14ac:dyDescent="0.25">
      <c r="I1007"/>
    </row>
    <row r="1008" spans="9:9" x14ac:dyDescent="0.25">
      <c r="I1008"/>
    </row>
    <row r="1009" spans="9:9" x14ac:dyDescent="0.25">
      <c r="I1009"/>
    </row>
    <row r="1010" spans="9:9" x14ac:dyDescent="0.25">
      <c r="I1010"/>
    </row>
    <row r="1011" spans="9:9" x14ac:dyDescent="0.25">
      <c r="I1011"/>
    </row>
    <row r="1012" spans="9:9" x14ac:dyDescent="0.25">
      <c r="I1012"/>
    </row>
    <row r="1013" spans="9:9" x14ac:dyDescent="0.25">
      <c r="I1013"/>
    </row>
    <row r="1014" spans="9:9" x14ac:dyDescent="0.25">
      <c r="I1014"/>
    </row>
    <row r="1015" spans="9:9" x14ac:dyDescent="0.25">
      <c r="I1015"/>
    </row>
    <row r="1016" spans="9:9" x14ac:dyDescent="0.25">
      <c r="I1016"/>
    </row>
    <row r="1017" spans="9:9" x14ac:dyDescent="0.25">
      <c r="I1017"/>
    </row>
    <row r="1018" spans="9:9" x14ac:dyDescent="0.25">
      <c r="I1018"/>
    </row>
    <row r="1019" spans="9:9" x14ac:dyDescent="0.25">
      <c r="I1019"/>
    </row>
    <row r="1020" spans="9:9" x14ac:dyDescent="0.25">
      <c r="I1020"/>
    </row>
    <row r="1021" spans="9:9" x14ac:dyDescent="0.25">
      <c r="I1021"/>
    </row>
    <row r="1022" spans="9:9" x14ac:dyDescent="0.25">
      <c r="I1022"/>
    </row>
    <row r="1023" spans="9:9" x14ac:dyDescent="0.25">
      <c r="I1023"/>
    </row>
    <row r="1024" spans="9:9" x14ac:dyDescent="0.25">
      <c r="I1024"/>
    </row>
    <row r="1025" spans="9:9" x14ac:dyDescent="0.25">
      <c r="I1025"/>
    </row>
    <row r="1026" spans="9:9" x14ac:dyDescent="0.25">
      <c r="I1026"/>
    </row>
    <row r="1027" spans="9:9" x14ac:dyDescent="0.25">
      <c r="I1027"/>
    </row>
    <row r="1028" spans="9:9" x14ac:dyDescent="0.25">
      <c r="I1028"/>
    </row>
    <row r="1029" spans="9:9" x14ac:dyDescent="0.25">
      <c r="I1029"/>
    </row>
    <row r="1030" spans="9:9" x14ac:dyDescent="0.25">
      <c r="I1030"/>
    </row>
    <row r="1031" spans="9:9" x14ac:dyDescent="0.25">
      <c r="I1031"/>
    </row>
    <row r="1032" spans="9:9" x14ac:dyDescent="0.25">
      <c r="I1032"/>
    </row>
    <row r="1033" spans="9:9" x14ac:dyDescent="0.25">
      <c r="I1033"/>
    </row>
    <row r="1034" spans="9:9" x14ac:dyDescent="0.25">
      <c r="I1034"/>
    </row>
    <row r="1035" spans="9:9" x14ac:dyDescent="0.25">
      <c r="I1035"/>
    </row>
    <row r="1036" spans="9:9" x14ac:dyDescent="0.25">
      <c r="I1036"/>
    </row>
    <row r="1037" spans="9:9" x14ac:dyDescent="0.25">
      <c r="I1037"/>
    </row>
    <row r="1038" spans="9:9" x14ac:dyDescent="0.25">
      <c r="I1038"/>
    </row>
    <row r="1039" spans="9:9" x14ac:dyDescent="0.25">
      <c r="I1039"/>
    </row>
    <row r="1040" spans="9:9" x14ac:dyDescent="0.25">
      <c r="I1040"/>
    </row>
    <row r="1041" spans="9:9" x14ac:dyDescent="0.25">
      <c r="I1041"/>
    </row>
    <row r="1042" spans="9:9" x14ac:dyDescent="0.25">
      <c r="I1042"/>
    </row>
    <row r="1043" spans="9:9" x14ac:dyDescent="0.25">
      <c r="I1043"/>
    </row>
    <row r="1044" spans="9:9" x14ac:dyDescent="0.25">
      <c r="I1044"/>
    </row>
    <row r="1045" spans="9:9" x14ac:dyDescent="0.25">
      <c r="I1045"/>
    </row>
    <row r="1046" spans="9:9" x14ac:dyDescent="0.25">
      <c r="I1046"/>
    </row>
    <row r="1047" spans="9:9" x14ac:dyDescent="0.25">
      <c r="I1047"/>
    </row>
    <row r="1048" spans="9:9" x14ac:dyDescent="0.25">
      <c r="I1048"/>
    </row>
    <row r="1049" spans="9:9" x14ac:dyDescent="0.25">
      <c r="I1049"/>
    </row>
    <row r="1050" spans="9:9" x14ac:dyDescent="0.25">
      <c r="I1050"/>
    </row>
    <row r="1051" spans="9:9" x14ac:dyDescent="0.25">
      <c r="I1051"/>
    </row>
    <row r="1052" spans="9:9" x14ac:dyDescent="0.25">
      <c r="I1052"/>
    </row>
    <row r="1053" spans="9:9" x14ac:dyDescent="0.25">
      <c r="I1053"/>
    </row>
    <row r="1054" spans="9:9" x14ac:dyDescent="0.25">
      <c r="I1054"/>
    </row>
    <row r="1055" spans="9:9" x14ac:dyDescent="0.25">
      <c r="I1055"/>
    </row>
    <row r="1056" spans="9:9" x14ac:dyDescent="0.25">
      <c r="I1056"/>
    </row>
    <row r="1057" spans="9:9" x14ac:dyDescent="0.25">
      <c r="I1057"/>
    </row>
    <row r="1058" spans="9:9" x14ac:dyDescent="0.25">
      <c r="I1058"/>
    </row>
    <row r="1059" spans="9:9" x14ac:dyDescent="0.25">
      <c r="I1059"/>
    </row>
    <row r="1060" spans="9:9" x14ac:dyDescent="0.25">
      <c r="I1060"/>
    </row>
    <row r="1061" spans="9:9" x14ac:dyDescent="0.25">
      <c r="I1061"/>
    </row>
    <row r="1062" spans="9:9" x14ac:dyDescent="0.25">
      <c r="I1062"/>
    </row>
    <row r="1063" spans="9:9" x14ac:dyDescent="0.25">
      <c r="I1063"/>
    </row>
    <row r="1064" spans="9:9" x14ac:dyDescent="0.25">
      <c r="I1064"/>
    </row>
    <row r="1065" spans="9:9" x14ac:dyDescent="0.25">
      <c r="I1065"/>
    </row>
    <row r="1066" spans="9:9" x14ac:dyDescent="0.25">
      <c r="I1066"/>
    </row>
    <row r="1067" spans="9:9" x14ac:dyDescent="0.25">
      <c r="I1067"/>
    </row>
    <row r="1068" spans="9:9" x14ac:dyDescent="0.25">
      <c r="I1068"/>
    </row>
    <row r="1069" spans="9:9" x14ac:dyDescent="0.25">
      <c r="I1069"/>
    </row>
    <row r="1070" spans="9:9" x14ac:dyDescent="0.25">
      <c r="I1070"/>
    </row>
    <row r="1071" spans="9:9" x14ac:dyDescent="0.25">
      <c r="I1071"/>
    </row>
    <row r="1072" spans="9:9" x14ac:dyDescent="0.25">
      <c r="I1072"/>
    </row>
    <row r="1073" spans="9:9" x14ac:dyDescent="0.25">
      <c r="I1073"/>
    </row>
    <row r="1074" spans="9:9" x14ac:dyDescent="0.25">
      <c r="I1074"/>
    </row>
    <row r="1075" spans="9:9" x14ac:dyDescent="0.25">
      <c r="I1075"/>
    </row>
    <row r="1076" spans="9:9" x14ac:dyDescent="0.25">
      <c r="I1076"/>
    </row>
    <row r="1077" spans="9:9" x14ac:dyDescent="0.25">
      <c r="I1077"/>
    </row>
    <row r="1078" spans="9:9" x14ac:dyDescent="0.25">
      <c r="I1078"/>
    </row>
    <row r="1079" spans="9:9" x14ac:dyDescent="0.25">
      <c r="I1079"/>
    </row>
    <row r="1080" spans="9:9" x14ac:dyDescent="0.25">
      <c r="I1080"/>
    </row>
    <row r="1081" spans="9:9" x14ac:dyDescent="0.25">
      <c r="I1081"/>
    </row>
    <row r="1082" spans="9:9" x14ac:dyDescent="0.25">
      <c r="I1082"/>
    </row>
    <row r="1083" spans="9:9" x14ac:dyDescent="0.25">
      <c r="I1083"/>
    </row>
    <row r="1084" spans="9:9" x14ac:dyDescent="0.25">
      <c r="I1084"/>
    </row>
    <row r="1085" spans="9:9" x14ac:dyDescent="0.25">
      <c r="I1085"/>
    </row>
    <row r="1086" spans="9:9" x14ac:dyDescent="0.25">
      <c r="I1086"/>
    </row>
    <row r="1087" spans="9:9" x14ac:dyDescent="0.25">
      <c r="I1087"/>
    </row>
    <row r="1088" spans="9:9" x14ac:dyDescent="0.25">
      <c r="I1088"/>
    </row>
    <row r="1089" spans="9:9" x14ac:dyDescent="0.25">
      <c r="I1089"/>
    </row>
    <row r="1090" spans="9:9" x14ac:dyDescent="0.25">
      <c r="I1090"/>
    </row>
    <row r="1091" spans="9:9" x14ac:dyDescent="0.25">
      <c r="I1091"/>
    </row>
    <row r="1092" spans="9:9" x14ac:dyDescent="0.25">
      <c r="I1092"/>
    </row>
    <row r="1093" spans="9:9" x14ac:dyDescent="0.25">
      <c r="I1093"/>
    </row>
    <row r="1094" spans="9:9" x14ac:dyDescent="0.25">
      <c r="I1094"/>
    </row>
    <row r="1095" spans="9:9" x14ac:dyDescent="0.25">
      <c r="I1095"/>
    </row>
    <row r="1096" spans="9:9" x14ac:dyDescent="0.25">
      <c r="I1096"/>
    </row>
    <row r="1097" spans="9:9" x14ac:dyDescent="0.25">
      <c r="I1097"/>
    </row>
    <row r="1098" spans="9:9" x14ac:dyDescent="0.25">
      <c r="I1098"/>
    </row>
    <row r="1099" spans="9:9" x14ac:dyDescent="0.25">
      <c r="I1099"/>
    </row>
    <row r="1100" spans="9:9" x14ac:dyDescent="0.25">
      <c r="I1100"/>
    </row>
    <row r="1101" spans="9:9" x14ac:dyDescent="0.25">
      <c r="I1101"/>
    </row>
    <row r="1102" spans="9:9" x14ac:dyDescent="0.25">
      <c r="I1102"/>
    </row>
    <row r="1103" spans="9:9" x14ac:dyDescent="0.25">
      <c r="I1103"/>
    </row>
    <row r="1104" spans="9:9" x14ac:dyDescent="0.25">
      <c r="I1104"/>
    </row>
    <row r="1105" spans="9:9" x14ac:dyDescent="0.25">
      <c r="I1105"/>
    </row>
    <row r="1106" spans="9:9" x14ac:dyDescent="0.25">
      <c r="I1106"/>
    </row>
    <row r="1107" spans="9:9" x14ac:dyDescent="0.25">
      <c r="I1107"/>
    </row>
    <row r="1108" spans="9:9" x14ac:dyDescent="0.25">
      <c r="I1108"/>
    </row>
    <row r="1109" spans="9:9" x14ac:dyDescent="0.25">
      <c r="I1109"/>
    </row>
    <row r="1110" spans="9:9" x14ac:dyDescent="0.25">
      <c r="I1110"/>
    </row>
    <row r="1111" spans="9:9" x14ac:dyDescent="0.25">
      <c r="I1111"/>
    </row>
    <row r="1112" spans="9:9" x14ac:dyDescent="0.25">
      <c r="I1112"/>
    </row>
    <row r="1113" spans="9:9" x14ac:dyDescent="0.25">
      <c r="I1113"/>
    </row>
    <row r="1114" spans="9:9" x14ac:dyDescent="0.25">
      <c r="I1114"/>
    </row>
    <row r="1115" spans="9:9" x14ac:dyDescent="0.25">
      <c r="I1115"/>
    </row>
    <row r="1116" spans="9:9" x14ac:dyDescent="0.25">
      <c r="I1116"/>
    </row>
    <row r="1117" spans="9:9" x14ac:dyDescent="0.25">
      <c r="I1117"/>
    </row>
    <row r="1118" spans="9:9" x14ac:dyDescent="0.25">
      <c r="I1118"/>
    </row>
    <row r="1119" spans="9:9" x14ac:dyDescent="0.25">
      <c r="I1119"/>
    </row>
    <row r="1120" spans="9:9" x14ac:dyDescent="0.25">
      <c r="I1120"/>
    </row>
    <row r="1121" spans="9:9" x14ac:dyDescent="0.25">
      <c r="I1121"/>
    </row>
    <row r="1122" spans="9:9" x14ac:dyDescent="0.25">
      <c r="I1122"/>
    </row>
    <row r="1123" spans="9:9" x14ac:dyDescent="0.25">
      <c r="I1123"/>
    </row>
    <row r="1124" spans="9:9" x14ac:dyDescent="0.25">
      <c r="I1124"/>
    </row>
    <row r="1125" spans="9:9" x14ac:dyDescent="0.25">
      <c r="I1125"/>
    </row>
    <row r="1126" spans="9:9" x14ac:dyDescent="0.25">
      <c r="I1126"/>
    </row>
    <row r="1127" spans="9:9" x14ac:dyDescent="0.25">
      <c r="I1127"/>
    </row>
    <row r="1128" spans="9:9" x14ac:dyDescent="0.25">
      <c r="I1128"/>
    </row>
    <row r="1129" spans="9:9" x14ac:dyDescent="0.25">
      <c r="I1129"/>
    </row>
    <row r="1130" spans="9:9" x14ac:dyDescent="0.25">
      <c r="I1130"/>
    </row>
    <row r="1131" spans="9:9" x14ac:dyDescent="0.25">
      <c r="I1131"/>
    </row>
    <row r="1132" spans="9:9" x14ac:dyDescent="0.25">
      <c r="I1132"/>
    </row>
    <row r="1133" spans="9:9" x14ac:dyDescent="0.25">
      <c r="I1133"/>
    </row>
    <row r="1134" spans="9:9" x14ac:dyDescent="0.25">
      <c r="I1134"/>
    </row>
    <row r="1135" spans="9:9" x14ac:dyDescent="0.25">
      <c r="I1135"/>
    </row>
    <row r="1136" spans="9:9" x14ac:dyDescent="0.25">
      <c r="I1136"/>
    </row>
    <row r="1137" spans="9:9" x14ac:dyDescent="0.25">
      <c r="I1137"/>
    </row>
    <row r="1138" spans="9:9" x14ac:dyDescent="0.25">
      <c r="I1138"/>
    </row>
    <row r="1139" spans="9:9" x14ac:dyDescent="0.25">
      <c r="I1139"/>
    </row>
    <row r="1140" spans="9:9" x14ac:dyDescent="0.25">
      <c r="I1140"/>
    </row>
    <row r="1141" spans="9:9" x14ac:dyDescent="0.25">
      <c r="I1141"/>
    </row>
    <row r="1142" spans="9:9" x14ac:dyDescent="0.25">
      <c r="I1142"/>
    </row>
    <row r="1143" spans="9:9" x14ac:dyDescent="0.25">
      <c r="I1143"/>
    </row>
    <row r="1144" spans="9:9" x14ac:dyDescent="0.25">
      <c r="I1144"/>
    </row>
    <row r="1145" spans="9:9" x14ac:dyDescent="0.25">
      <c r="I1145"/>
    </row>
    <row r="1146" spans="9:9" x14ac:dyDescent="0.25">
      <c r="I1146"/>
    </row>
    <row r="1147" spans="9:9" x14ac:dyDescent="0.25">
      <c r="I1147"/>
    </row>
    <row r="1148" spans="9:9" x14ac:dyDescent="0.25">
      <c r="I1148"/>
    </row>
    <row r="1149" spans="9:9" x14ac:dyDescent="0.25">
      <c r="I1149"/>
    </row>
    <row r="1150" spans="9:9" x14ac:dyDescent="0.25">
      <c r="I1150"/>
    </row>
    <row r="1151" spans="9:9" x14ac:dyDescent="0.25">
      <c r="I1151"/>
    </row>
    <row r="1152" spans="9:9" x14ac:dyDescent="0.25">
      <c r="I1152"/>
    </row>
    <row r="1153" spans="9:9" x14ac:dyDescent="0.25">
      <c r="I1153"/>
    </row>
    <row r="1154" spans="9:9" x14ac:dyDescent="0.25">
      <c r="I1154"/>
    </row>
    <row r="1155" spans="9:9" x14ac:dyDescent="0.25">
      <c r="I1155"/>
    </row>
    <row r="1156" spans="9:9" x14ac:dyDescent="0.25">
      <c r="I1156"/>
    </row>
    <row r="1157" spans="9:9" x14ac:dyDescent="0.25">
      <c r="I1157"/>
    </row>
    <row r="1158" spans="9:9" x14ac:dyDescent="0.25">
      <c r="I1158"/>
    </row>
    <row r="1159" spans="9:9" x14ac:dyDescent="0.25">
      <c r="I1159"/>
    </row>
    <row r="1160" spans="9:9" x14ac:dyDescent="0.25">
      <c r="I1160"/>
    </row>
    <row r="1161" spans="9:9" x14ac:dyDescent="0.25">
      <c r="I1161"/>
    </row>
    <row r="1162" spans="9:9" x14ac:dyDescent="0.25">
      <c r="I1162"/>
    </row>
    <row r="1163" spans="9:9" x14ac:dyDescent="0.25">
      <c r="I1163"/>
    </row>
    <row r="1164" spans="9:9" x14ac:dyDescent="0.25">
      <c r="I1164"/>
    </row>
    <row r="1165" spans="9:9" x14ac:dyDescent="0.25">
      <c r="I1165"/>
    </row>
    <row r="1166" spans="9:9" x14ac:dyDescent="0.25">
      <c r="I1166"/>
    </row>
    <row r="1167" spans="9:9" x14ac:dyDescent="0.25">
      <c r="I1167"/>
    </row>
    <row r="1168" spans="9:9" x14ac:dyDescent="0.25">
      <c r="I1168"/>
    </row>
    <row r="1169" spans="9:9" x14ac:dyDescent="0.25">
      <c r="I1169"/>
    </row>
    <row r="1170" spans="9:9" x14ac:dyDescent="0.25">
      <c r="I1170"/>
    </row>
    <row r="1171" spans="9:9" x14ac:dyDescent="0.25">
      <c r="I1171"/>
    </row>
    <row r="1172" spans="9:9" x14ac:dyDescent="0.25">
      <c r="I1172"/>
    </row>
    <row r="1173" spans="9:9" x14ac:dyDescent="0.25">
      <c r="I1173"/>
    </row>
    <row r="1174" spans="9:9" x14ac:dyDescent="0.25">
      <c r="I1174"/>
    </row>
    <row r="1175" spans="9:9" x14ac:dyDescent="0.25">
      <c r="I1175"/>
    </row>
    <row r="1176" spans="9:9" x14ac:dyDescent="0.25">
      <c r="I1176"/>
    </row>
    <row r="1177" spans="9:9" x14ac:dyDescent="0.25">
      <c r="I1177"/>
    </row>
    <row r="1178" spans="9:9" x14ac:dyDescent="0.25">
      <c r="I1178"/>
    </row>
    <row r="1179" spans="9:9" x14ac:dyDescent="0.25">
      <c r="I1179"/>
    </row>
    <row r="1180" spans="9:9" x14ac:dyDescent="0.25">
      <c r="I1180"/>
    </row>
    <row r="1181" spans="9:9" x14ac:dyDescent="0.25">
      <c r="I1181"/>
    </row>
    <row r="1182" spans="9:9" x14ac:dyDescent="0.25">
      <c r="I1182"/>
    </row>
    <row r="1183" spans="9:9" x14ac:dyDescent="0.25">
      <c r="I1183"/>
    </row>
    <row r="1184" spans="9:9" x14ac:dyDescent="0.25">
      <c r="I1184"/>
    </row>
    <row r="1185" spans="9:9" x14ac:dyDescent="0.25">
      <c r="I1185"/>
    </row>
    <row r="1186" spans="9:9" x14ac:dyDescent="0.25">
      <c r="I1186"/>
    </row>
    <row r="1187" spans="9:9" x14ac:dyDescent="0.25">
      <c r="I1187"/>
    </row>
    <row r="1188" spans="9:9" x14ac:dyDescent="0.25">
      <c r="I1188"/>
    </row>
    <row r="1189" spans="9:9" x14ac:dyDescent="0.25">
      <c r="I1189"/>
    </row>
    <row r="1190" spans="9:9" x14ac:dyDescent="0.25">
      <c r="I1190"/>
    </row>
    <row r="1191" spans="9:9" x14ac:dyDescent="0.25">
      <c r="I1191"/>
    </row>
    <row r="1192" spans="9:9" x14ac:dyDescent="0.25">
      <c r="I1192"/>
    </row>
    <row r="1193" spans="9:9" x14ac:dyDescent="0.25">
      <c r="I1193"/>
    </row>
    <row r="1194" spans="9:9" x14ac:dyDescent="0.25">
      <c r="I1194"/>
    </row>
    <row r="1195" spans="9:9" x14ac:dyDescent="0.25">
      <c r="I1195"/>
    </row>
    <row r="1196" spans="9:9" x14ac:dyDescent="0.25">
      <c r="I1196"/>
    </row>
    <row r="1197" spans="9:9" x14ac:dyDescent="0.25">
      <c r="I1197"/>
    </row>
    <row r="1198" spans="9:9" x14ac:dyDescent="0.25">
      <c r="I1198"/>
    </row>
    <row r="1199" spans="9:9" x14ac:dyDescent="0.25">
      <c r="I1199"/>
    </row>
    <row r="1200" spans="9:9" x14ac:dyDescent="0.25">
      <c r="I1200"/>
    </row>
    <row r="1201" spans="9:9" x14ac:dyDescent="0.25">
      <c r="I1201"/>
    </row>
    <row r="1202" spans="9:9" x14ac:dyDescent="0.25">
      <c r="I1202"/>
    </row>
    <row r="1203" spans="9:9" x14ac:dyDescent="0.25">
      <c r="I1203"/>
    </row>
    <row r="1204" spans="9:9" x14ac:dyDescent="0.25">
      <c r="I1204"/>
    </row>
    <row r="1205" spans="9:9" x14ac:dyDescent="0.25">
      <c r="I1205"/>
    </row>
    <row r="1206" spans="9:9" x14ac:dyDescent="0.25">
      <c r="I1206"/>
    </row>
  </sheetData>
  <mergeCells count="18">
    <mergeCell ref="C30:C36"/>
    <mergeCell ref="A3:A60"/>
    <mergeCell ref="B3:B17"/>
    <mergeCell ref="B18:B21"/>
    <mergeCell ref="B22:B29"/>
    <mergeCell ref="B30:B36"/>
    <mergeCell ref="B37:B45"/>
    <mergeCell ref="C22:C29"/>
    <mergeCell ref="B46:B53"/>
    <mergeCell ref="B54:B60"/>
    <mergeCell ref="C37:C45"/>
    <mergeCell ref="C46:C53"/>
    <mergeCell ref="C54:C60"/>
    <mergeCell ref="B1:I1"/>
    <mergeCell ref="J1:O1"/>
    <mergeCell ref="A1:A2"/>
    <mergeCell ref="C18:C21"/>
    <mergeCell ref="C3:C17"/>
  </mergeCells>
  <phoneticPr fontId="3" type="noConversion"/>
  <pageMargins left="0.7" right="0.7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00_DocInfo</vt:lpstr>
      <vt:lpstr>01_FLOW</vt:lpstr>
      <vt:lpstr>02_Protocol</vt:lpstr>
      <vt:lpstr>03_CRC</vt:lpstr>
      <vt:lpstr>UEL_OBC_ICD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권혁진</dc:creator>
  <cp:lastModifiedBy>Q Pair</cp:lastModifiedBy>
  <dcterms:created xsi:type="dcterms:W3CDTF">2025-09-05T02:46:56Z</dcterms:created>
  <dcterms:modified xsi:type="dcterms:W3CDTF">2026-05-06T05:53:59Z</dcterms:modified>
</cp:coreProperties>
</file>