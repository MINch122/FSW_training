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ykang\Documents\5th\ICD\"/>
    </mc:Choice>
  </mc:AlternateContent>
  <xr:revisionPtr revIDLastSave="0" documentId="13_ncr:1_{E76D5BE6-59B8-4BB1-8C50-C1224425BAFC}" xr6:coauthVersionLast="47" xr6:coauthVersionMax="47" xr10:uidLastSave="{00000000-0000-0000-0000-000000000000}"/>
  <bookViews>
    <workbookView xWindow="-105" yWindow="0" windowWidth="26010" windowHeight="20985" activeTab="2" xr2:uid="{00000000-000D-0000-FFFF-FFFF00000000}"/>
  </bookViews>
  <sheets>
    <sheet name="00_DocInfo" sheetId="1" r:id="rId1"/>
    <sheet name="01_FLOW" sheetId="2" r:id="rId2"/>
    <sheet name="02_Protocol" sheetId="3" r:id="rId3"/>
    <sheet name="03_CRC" sheetId="4" r:id="rId4"/>
    <sheet name="04_Interface-CRC" sheetId="5" r:id="rId5"/>
    <sheet name="구_Interface_폐기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5" l="1"/>
  <c r="N39" i="5"/>
  <c r="N30" i="5"/>
  <c r="N23" i="5"/>
  <c r="N10" i="5"/>
  <c r="N6" i="5"/>
  <c r="H39" i="5"/>
  <c r="H30" i="5"/>
  <c r="H23" i="5"/>
  <c r="H10" i="5"/>
  <c r="H15" i="5"/>
  <c r="H6" i="5"/>
</calcChain>
</file>

<file path=xl/sharedStrings.xml><?xml version="1.0" encoding="utf-8"?>
<sst xmlns="http://schemas.openxmlformats.org/spreadsheetml/2006/main" count="768" uniqueCount="383">
  <si>
    <t>항목</t>
  </si>
  <si>
    <t>값</t>
  </si>
  <si>
    <t>Version</t>
  </si>
  <si>
    <t>Date</t>
  </si>
  <si>
    <t>Author</t>
  </si>
  <si>
    <t>Change Summary</t>
  </si>
  <si>
    <t>Comment</t>
  </si>
  <si>
    <t>Document Title</t>
  </si>
  <si>
    <t>CAM Interface board</t>
  </si>
  <si>
    <t>김성규</t>
  </si>
  <si>
    <t>원본 작성</t>
  </si>
  <si>
    <t>4차문서</t>
  </si>
  <si>
    <t>강상연</t>
  </si>
  <si>
    <t>초기 작성</t>
  </si>
  <si>
    <t>초안</t>
  </si>
  <si>
    <t>단어 수정 및 CRC 추가</t>
  </si>
  <si>
    <t>강상연(sykang4966@uel.co.kr)</t>
  </si>
  <si>
    <t>Scope</t>
  </si>
  <si>
    <t>NARA OBC ↔ Payload 통신 규격</t>
  </si>
  <si>
    <t>Note</t>
  </si>
  <si>
    <t>이 문서는 명령어/데이터 포맷을 정의한다.</t>
  </si>
  <si>
    <t>Transport</t>
  </si>
  <si>
    <t>libcsp over SocketCAN ( VER 1.6)</t>
  </si>
  <si>
    <t>CAN Interface</t>
  </si>
  <si>
    <t>can0 (1 Mbps)</t>
  </si>
  <si>
    <t>CSP DPORT</t>
  </si>
  <si>
    <t>25</t>
  </si>
  <si>
    <t>Chunk Payload Size</t>
  </si>
  <si>
    <t>Chunk Response Size</t>
  </si>
  <si>
    <t>Implemented CMD Range</t>
  </si>
  <si>
    <t>0x41 ~ 0x46 (v0.1), 0x47 reserved (not implemented)</t>
  </si>
  <si>
    <t>섹션</t>
  </si>
  <si>
    <t>내용</t>
  </si>
  <si>
    <t>엔디언 규칙</t>
  </si>
  <si>
    <t>기본 원칙</t>
  </si>
  <si>
    <t>모든 2바이트 이상 정수 필드는 빅 엔디언(Big-endian MSB first)으로 전송</t>
  </si>
  <si>
    <t>적용 대상</t>
  </si>
  <si>
    <t>chunk_no / total_chunks / last_chunk_size 등 uint16/uint32 필드</t>
  </si>
  <si>
    <t>예시 값</t>
  </si>
  <si>
    <t>chunk_no = 0x0010 일 때 전송 바이트 순서: 0x00(High) 0x10(Low)</t>
  </si>
  <si>
    <t>C 디코딩 예시</t>
  </si>
  <si>
    <t>val = ((uint16_t)p[i] &lt;&lt; 8) | p[i+1];  // big-endian 조합</t>
  </si>
  <si>
    <t>image Number</t>
  </si>
  <si>
    <t>Description</t>
  </si>
  <si>
    <t>비고</t>
  </si>
  <si>
    <t>카메라 바이닝</t>
  </si>
  <si>
    <t>raw</t>
  </si>
  <si>
    <t>원본 RAW (unbinned)</t>
  </si>
  <si>
    <t>no_binning</t>
  </si>
  <si>
    <t>디모자이크 후 풀 해상도 JPG</t>
  </si>
  <si>
    <t>2x2</t>
  </si>
  <si>
    <t>2x2 binning JPG</t>
  </si>
  <si>
    <t>4x4</t>
  </si>
  <si>
    <t>4x4 binning JPG</t>
  </si>
  <si>
    <t>8x8</t>
  </si>
  <si>
    <t>8x8 binning JPG</t>
  </si>
  <si>
    <t>16x16</t>
  </si>
  <si>
    <t>16x16 binning JPG</t>
  </si>
  <si>
    <t>32x32</t>
  </si>
  <si>
    <t>32x32 binning JPG</t>
  </si>
  <si>
    <t>64x64</t>
  </si>
  <si>
    <t>64x64 binning JPG</t>
  </si>
  <si>
    <t>packed raw(zst)</t>
  </si>
  <si>
    <t>zstd 압축 packed RAW (image.raw.zst)</t>
  </si>
  <si>
    <t>코드(hex)</t>
  </si>
  <si>
    <t>이름</t>
  </si>
  <si>
    <t>종류</t>
  </si>
  <si>
    <t>설명</t>
  </si>
  <si>
    <t>Status</t>
  </si>
  <si>
    <t>0x00</t>
  </si>
  <si>
    <t>N5C_ST_OK</t>
  </si>
  <si>
    <t>OK</t>
  </si>
  <si>
    <t>정상</t>
  </si>
  <si>
    <t>Error</t>
  </si>
  <si>
    <t>0xF0</t>
  </si>
  <si>
    <t>N5C_E_BUSY</t>
  </si>
  <si>
    <t>장치/서비스가 Busy 상태</t>
  </si>
  <si>
    <t>0xF1</t>
  </si>
  <si>
    <t>N5C_E_TIMEOUT</t>
  </si>
  <si>
    <t>내부 동작 또는 통신 타임아웃</t>
  </si>
  <si>
    <t>0xF2</t>
  </si>
  <si>
    <t>N5C_E_BAD_PARAM</t>
  </si>
  <si>
    <t>요청 파라미터 값이 잘못됨(범위 오류 등)</t>
  </si>
  <si>
    <t>0xF3</t>
  </si>
  <si>
    <t>N5C_E_NOMEM</t>
  </si>
  <si>
    <t>메모리 부족(csp_buffer_get 등 실패)</t>
  </si>
  <si>
    <t>0xF4</t>
  </si>
  <si>
    <t>N5C_E_INVAL_LEN</t>
  </si>
  <si>
    <t>패킷 길이(len)가 기대값과 다름</t>
  </si>
  <si>
    <t>0xF5</t>
  </si>
  <si>
    <t>N5C_E_FILE_TOO_LARGE</t>
  </si>
  <si>
    <t>파일 크기/총 청크 수가 프로토콜 한계(&gt;65535청크) 초과</t>
  </si>
  <si>
    <t>0xF6</t>
  </si>
  <si>
    <t>N5C_E_CHUNK_OOB</t>
  </si>
  <si>
    <t>chunk_no가 total_chunks 범위를 벗어남</t>
  </si>
  <si>
    <t>0xFA</t>
  </si>
  <si>
    <t>N5C_E_POSTPROC_FAIL</t>
  </si>
  <si>
    <t>후처리/바이닝/압축 단계 실패</t>
  </si>
  <si>
    <t>0xFB</t>
  </si>
  <si>
    <t>N5C_E_CAPTURE_FAIL</t>
  </si>
  <si>
    <t>카메라 캡처(v4l2-ctl 등) 실패</t>
  </si>
  <si>
    <t>0xFC</t>
  </si>
  <si>
    <t>N5C_E_MKDIR_FAIL</t>
  </si>
  <si>
    <t>필요한 디렉토리 생성 실패</t>
  </si>
  <si>
    <t>0xFD</t>
  </si>
  <si>
    <t>N5C_E_INVAL_DIR</t>
  </si>
  <si>
    <t>슬롯 디렉토리/파일 경로 이상 또는 존재하지 않음</t>
  </si>
  <si>
    <t>0xFE</t>
  </si>
  <si>
    <t>N5C_E_INVAL_CAM</t>
  </si>
  <si>
    <t>카메라 번호 또는 카메라 상태 이상</t>
  </si>
  <si>
    <t>0xFF</t>
  </si>
  <si>
    <t>N5C_E_UNKNOWN_CMD</t>
  </si>
  <si>
    <t>알 수 없는 CMD 코드</t>
  </si>
  <si>
    <t>N5C_E_CAMERA_01</t>
  </si>
  <si>
    <t>카메라0만 고장(cam0 fail,  cam1 OK)</t>
  </si>
  <si>
    <t>N5C_E_CAMERA_02</t>
  </si>
  <si>
    <t>카메라1만 고장(cam0 OK,  cam1 fail)</t>
  </si>
  <si>
    <t>0xE3</t>
  </si>
  <si>
    <t>N5C_E_CAMERA_03</t>
  </si>
  <si>
    <t>카메라0·1 모두 고장</t>
  </si>
  <si>
    <t>CRC 규격 (CRC Specification)</t>
  </si>
  <si>
    <t>비고/참고</t>
  </si>
  <si>
    <t>1. CRC 적용 정책 (Commands &amp; Type)</t>
  </si>
  <si>
    <t>CRC 정책</t>
  </si>
  <si>
    <t>0x41~0x44, 0x46: CRC16, 0x45: CRC32</t>
  </si>
  <si>
    <t>대용량 전송(0x45) 신뢰성 확보 목적</t>
  </si>
  <si>
    <t>Request/Reply</t>
  </si>
  <si>
    <t>Request와 Reply 모두 동일한 CRC 정책 적용 (CRC 필드 포함 시 항상 payload 마지막)</t>
  </si>
  <si>
    <t>2. CRC 계산 범위 / 전송 규칙</t>
  </si>
  <si>
    <t>계산 범위</t>
  </si>
  <si>
    <t>대상 바이트</t>
  </si>
  <si>
    <t>CSP payload 내부의 [CMD(1B)] + [유효 데이터]</t>
  </si>
  <si>
    <t>CSP 헤더/프레이밍 제외</t>
  </si>
  <si>
    <t>CRC 제외</t>
  </si>
  <si>
    <t>CRC 필드 자체는 계산 범위에 포함하지 않음</t>
  </si>
  <si>
    <t>전송 규칙</t>
  </si>
  <si>
    <t>필드 위치</t>
  </si>
  <si>
    <t>CRC 값은 payload의 마지막 필드로 추가</t>
  </si>
  <si>
    <t>Request/Reply 공통</t>
  </si>
  <si>
    <t>바이트 오더</t>
  </si>
  <si>
    <t>CRC16/CRC32 값은 Big-endian(MSB first)으로 전송</t>
  </si>
  <si>
    <t>예) CRC16=0x1234 → 12 34</t>
  </si>
  <si>
    <t>정수 엔디언</t>
  </si>
  <si>
    <t>CRC 외 모든 멀티바이트 정수도 Big-endian</t>
  </si>
  <si>
    <t>02_protocol 참고</t>
  </si>
  <si>
    <t>3. CRC16 규격 (CRC16-CCITT-FALSE)</t>
  </si>
  <si>
    <t>CRC16</t>
  </si>
  <si>
    <t>Polynomial</t>
  </si>
  <si>
    <t>0x1021</t>
  </si>
  <si>
    <t>RefIn/RefOut=false (non-reflected)</t>
  </si>
  <si>
    <t>Init</t>
  </si>
  <si>
    <t>0xFFFF</t>
  </si>
  <si>
    <t>XorOut</t>
  </si>
  <si>
    <t>0x0000</t>
  </si>
  <si>
    <t>RefIn / RefOut</t>
  </si>
  <si>
    <t>false / false</t>
  </si>
  <si>
    <t>출력 길이</t>
  </si>
  <si>
    <t>16 bits (2 bytes)</t>
  </si>
  <si>
    <t>전송은 big-endian</t>
  </si>
  <si>
    <t>4. CRC32 규격 (CRC-32/ISO-HDLC)</t>
  </si>
  <si>
    <t>CRC32</t>
  </si>
  <si>
    <t>0x04C11DB7</t>
  </si>
  <si>
    <t>RefIn/RefOut=true (reflected)</t>
  </si>
  <si>
    <t>0xFFFFFFFF</t>
  </si>
  <si>
    <t>true / true</t>
  </si>
  <si>
    <t>32 bits (4 bytes)</t>
  </si>
  <si>
    <t>5. CRC 오류 처리</t>
  </si>
  <si>
    <t>오류 처리</t>
  </si>
  <si>
    <t>검증 실패</t>
  </si>
  <si>
    <t>CRC 검증 실패 시 해당 Command는 무효 처리(drop)하고 payload 데이터는 사용하지 않음</t>
  </si>
  <si>
    <t>(선택) Status/Error로 보고</t>
  </si>
  <si>
    <t>재전송</t>
  </si>
  <si>
    <t>재전송 정책/타임아웃은 상위(OBC Initiator)에서 관리</t>
  </si>
  <si>
    <t>6. CRC 테스트 벡터 (Implementation Verification)</t>
  </si>
  <si>
    <t>테스트</t>
  </si>
  <si>
    <t>목적</t>
  </si>
  <si>
    <t>코드/UT/상호운용성 검증을 위한 입력 바이트열과 기대 CRC를 제공</t>
  </si>
  <si>
    <t>본 시트 파라미터 기준</t>
  </si>
  <si>
    <t>CRC</t>
  </si>
  <si>
    <t>Test Name</t>
  </si>
  <si>
    <t>Input (HEX)</t>
  </si>
  <si>
    <t>Expected CRC (HEX)</t>
  </si>
  <si>
    <t>ASCII "123456789"</t>
  </si>
  <si>
    <t>31 32 33 34 35 36 37 38 39</t>
  </si>
  <si>
    <t>0x29B1</t>
  </si>
  <si>
    <t>체크값: 0x29B1</t>
  </si>
  <si>
    <t>0xCBF43926</t>
  </si>
  <si>
    <t>체크값: 0xCBF43926</t>
  </si>
  <si>
    <t>CMD0x41 minimal example</t>
  </si>
  <si>
    <t>41 00 00</t>
  </si>
  <si>
    <t>0xE601</t>
  </si>
  <si>
    <t>예시: CMD+DATA</t>
  </si>
  <si>
    <t>CMD0x44 metadata example</t>
  </si>
  <si>
    <t>44 01 02 00 10 20</t>
  </si>
  <si>
    <t>0x0289</t>
  </si>
  <si>
    <t>total_chunks=0x0010(BE)</t>
  </si>
  <si>
    <t>CMD0x45 chunk example</t>
  </si>
  <si>
    <t xml:space="preserve">45 00 00 00 00 AA AA AA AA AA AA AA AA AA AA AA AA AA AA AA AA </t>
  </si>
  <si>
    <t>0x13E604EA</t>
  </si>
  <si>
    <t>header 5B + chunk data 16B (AA...)</t>
  </si>
  <si>
    <t>Destination</t>
  </si>
  <si>
    <t>from. NARA OBC</t>
  </si>
  <si>
    <t>Command</t>
  </si>
  <si>
    <t>CMD code</t>
  </si>
  <si>
    <t>Payload</t>
  </si>
  <si>
    <t>Data Type</t>
  </si>
  <si>
    <t>Length</t>
  </si>
  <si>
    <t>Valid Range</t>
  </si>
  <si>
    <t>Example</t>
  </si>
  <si>
    <t>Reply</t>
  </si>
  <si>
    <t>PI
(CSP Node 2)
(CSP DPort 25)</t>
  </si>
  <si>
    <t>사진 촬영 요청</t>
  </si>
  <si>
    <t>0x41</t>
  </si>
  <si>
    <t>Image Slot</t>
  </si>
  <si>
    <t>uint8</t>
  </si>
  <si>
    <t>0 ~ 255</t>
  </si>
  <si>
    <t>Cmd</t>
  </si>
  <si>
    <t>Command ID</t>
  </si>
  <si>
    <t>-</t>
  </si>
  <si>
    <t>Camera Number</t>
  </si>
  <si>
    <t>1byte</t>
  </si>
  <si>
    <t>0 ~ 1</t>
  </si>
  <si>
    <t>0x00 ~ 0xFF</t>
  </si>
  <si>
    <t>uint16</t>
  </si>
  <si>
    <t>0x0000 ~ 0xFFFF</t>
  </si>
  <si>
    <t>총 전송 바이트</t>
  </si>
  <si>
    <t>카메라 헬스체크 요청</t>
  </si>
  <si>
    <t>0x42</t>
  </si>
  <si>
    <t>NONE</t>
  </si>
  <si>
    <t>총 전송 바이트: 2</t>
  </si>
  <si>
    <t>후처리/바이닝 요청</t>
  </si>
  <si>
    <t>0x43</t>
  </si>
  <si>
    <t>Image Number</t>
  </si>
  <si>
    <t>0 ~ 9</t>
  </si>
  <si>
    <t>다운로드 메타 요청</t>
  </si>
  <si>
    <t>0x44</t>
  </si>
  <si>
    <t>0 ~ 8</t>
  </si>
  <si>
    <t>Total Chunk</t>
  </si>
  <si>
    <t>1 ~ 65535</t>
  </si>
  <si>
    <t>Last Chunk Size</t>
  </si>
  <si>
    <t>1 ~ 251</t>
  </si>
  <si>
    <t>Image File CRC32</t>
  </si>
  <si>
    <t>uint32</t>
  </si>
  <si>
    <t>0x00000000 ~ 0xFFFFFFFF</t>
  </si>
  <si>
    <t>총 전송 바이트: 3</t>
  </si>
  <si>
    <t>청크 다운로드 요청</t>
  </si>
  <si>
    <t>0x45</t>
  </si>
  <si>
    <t>Chunk Number</t>
  </si>
  <si>
    <t>0 ~ (Total Chunk - 1)</t>
  </si>
  <si>
    <t>Image Data</t>
  </si>
  <si>
    <t>uint8[251]</t>
  </si>
  <si>
    <t>0x12 0x34 0x56 ...</t>
  </si>
  <si>
    <t>비콘/상태 텔레메트리</t>
  </si>
  <si>
    <t>0x46</t>
  </si>
  <si>
    <t>PI_Boot_State</t>
  </si>
  <si>
    <t>Raspberry Pi 부팅 상태 (0: Not booted, 1: Booted)</t>
  </si>
  <si>
    <t>PI_Boot_Count</t>
  </si>
  <si>
    <t>Raspberry Pi 부팅 횟수</t>
  </si>
  <si>
    <t>0 ~ 65535</t>
  </si>
  <si>
    <t>CAM_Detect_State</t>
  </si>
  <si>
    <t>CAM_Shutter_Count</t>
  </si>
  <si>
    <t>CPU_Temp_x100</t>
  </si>
  <si>
    <t>int16</t>
  </si>
  <si>
    <t>CPU 온도 ×100 값</t>
  </si>
  <si>
    <t>-32768 ~ 32767</t>
  </si>
  <si>
    <t>Free_Disk_MB</t>
  </si>
  <si>
    <t>0 ~ 4294967295</t>
  </si>
  <si>
    <t>To.  CAM INTERFACE OBC</t>
  </si>
  <si>
    <t>총 전송 바이트: 1</t>
  </si>
  <si>
    <t>해당 이미지의 총 chunk 개수 (uint16, Big-endian)</t>
  </si>
  <si>
    <t>마지막 chunk의 유효 바이트 수 (1~251)</t>
  </si>
  <si>
    <t>총 전송 바이트: 6</t>
  </si>
  <si>
    <t>보내는 chunk 번호</t>
  </si>
  <si>
    <t>해당 chunk의 데이터(바이트 배열)</t>
  </si>
  <si>
    <t>총 전송 바이트: 5</t>
  </si>
  <si>
    <t>총 전송 바이트: 256</t>
  </si>
  <si>
    <t>파이 부팅상태</t>
  </si>
  <si>
    <t>파이 부팅 카운트</t>
  </si>
  <si>
    <t>카메라 부팅 여부</t>
  </si>
  <si>
    <t>카메라 촬영 횟수</t>
  </si>
  <si>
    <t>cpu 온도</t>
  </si>
  <si>
    <t xml:space="preserve">여유 디스크 용량 </t>
  </si>
  <si>
    <t>총 전송 바이트: 13</t>
  </si>
  <si>
    <t>터미널 커맨드 실행 (v0.1 미구현/Reserved)</t>
  </si>
  <si>
    <t>0x47</t>
  </si>
  <si>
    <t>CMD Length</t>
  </si>
  <si>
    <t>CMD[Length]</t>
  </si>
  <si>
    <t>uint8[Length]</t>
  </si>
  <si>
    <t>[Length] Byte</t>
  </si>
  <si>
    <t>CMD</t>
  </si>
  <si>
    <t>Response Length</t>
  </si>
  <si>
    <t>(MAX Length 128byte)</t>
  </si>
  <si>
    <t>Response[Length]</t>
  </si>
  <si>
    <t>uint8[253-Length]</t>
  </si>
  <si>
    <t>v0.1 미구현</t>
  </si>
  <si>
    <r>
      <rPr>
        <b/>
        <i/>
        <sz val="11"/>
        <color theme="1" tint="4.9989318521683403E-2"/>
        <rFont val="Calibri"/>
        <family val="3"/>
        <charset val="129"/>
        <scheme val="major"/>
      </rPr>
      <t>총</t>
    </r>
    <r>
      <rPr>
        <b/>
        <i/>
        <sz val="11"/>
        <color theme="1" tint="4.9989318521683403E-2"/>
        <rFont val="Calibri"/>
        <family val="2"/>
        <scheme val="major"/>
      </rPr>
      <t xml:space="preserve"> </t>
    </r>
    <r>
      <rPr>
        <b/>
        <i/>
        <sz val="11"/>
        <color theme="1" tint="4.9989318521683403E-2"/>
        <rFont val="Calibri"/>
        <family val="3"/>
        <charset val="129"/>
        <scheme val="major"/>
      </rPr>
      <t>전송</t>
    </r>
    <r>
      <rPr>
        <b/>
        <i/>
        <sz val="11"/>
        <color theme="1" tint="4.9989318521683403E-2"/>
        <rFont val="Calibri"/>
        <family val="2"/>
        <scheme val="major"/>
      </rPr>
      <t xml:space="preserve"> </t>
    </r>
    <r>
      <rPr>
        <b/>
        <i/>
        <sz val="11"/>
        <color theme="1" tint="4.9989318521683403E-2"/>
        <rFont val="Calibri"/>
        <family val="3"/>
        <charset val="129"/>
        <scheme val="major"/>
      </rPr>
      <t>바이트</t>
    </r>
  </si>
  <si>
    <r>
      <rPr>
        <sz val="11"/>
        <color rgb="FF1F1F1F"/>
        <rFont val="Calibri"/>
        <family val="3"/>
        <scheme val="major"/>
      </rPr>
      <t>저장될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이미지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슬롯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번호</t>
    </r>
  </si>
  <si>
    <r>
      <rPr>
        <sz val="11"/>
        <color rgb="FF1F1F1F"/>
        <rFont val="Calibri"/>
        <family val="3"/>
        <scheme val="major"/>
      </rPr>
      <t>촬영에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사용할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카메라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번호</t>
    </r>
  </si>
  <si>
    <r>
      <rPr>
        <sz val="11"/>
        <color rgb="FF1F1F1F"/>
        <rFont val="Calibri"/>
        <family val="3"/>
        <scheme val="major"/>
      </rPr>
      <t>촬영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요청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처리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결과</t>
    </r>
    <r>
      <rPr>
        <sz val="11"/>
        <color rgb="FF1F1F1F"/>
        <rFont val="Calibri"/>
        <family val="2"/>
        <scheme val="major"/>
      </rPr>
      <t xml:space="preserve"> (0x00: Success)</t>
    </r>
  </si>
  <si>
    <r>
      <rPr>
        <sz val="11"/>
        <color rgb="FF1F1F1F"/>
        <rFont val="Calibri"/>
        <family val="3"/>
        <scheme val="major"/>
      </rPr>
      <t>헬스체크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결과</t>
    </r>
    <r>
      <rPr>
        <sz val="11"/>
        <color rgb="FF1F1F1F"/>
        <rFont val="Calibri"/>
        <family val="2"/>
        <scheme val="major"/>
      </rPr>
      <t xml:space="preserve"> (0x00: </t>
    </r>
    <r>
      <rPr>
        <sz val="11"/>
        <color rgb="FF1F1F1F"/>
        <rFont val="Calibri"/>
        <family val="3"/>
        <scheme val="major"/>
      </rPr>
      <t>정상</t>
    </r>
    <r>
      <rPr>
        <sz val="11"/>
        <color rgb="FF1F1F1F"/>
        <rFont val="Calibri"/>
        <family val="2"/>
        <scheme val="major"/>
      </rPr>
      <t>)</t>
    </r>
  </si>
  <si>
    <r>
      <rPr>
        <b/>
        <i/>
        <sz val="11"/>
        <color theme="1" tint="4.9989318521683403E-2"/>
        <rFont val="Calibri"/>
        <family val="3"/>
        <charset val="129"/>
        <scheme val="major"/>
      </rPr>
      <t>총</t>
    </r>
    <r>
      <rPr>
        <b/>
        <i/>
        <sz val="11"/>
        <color theme="1" tint="4.9989318521683403E-2"/>
        <rFont val="Calibri"/>
        <family val="2"/>
        <scheme val="major"/>
      </rPr>
      <t xml:space="preserve"> </t>
    </r>
    <r>
      <rPr>
        <b/>
        <i/>
        <sz val="11"/>
        <color theme="1" tint="4.9989318521683403E-2"/>
        <rFont val="Calibri"/>
        <family val="3"/>
        <charset val="129"/>
        <scheme val="major"/>
      </rPr>
      <t>전송</t>
    </r>
    <r>
      <rPr>
        <b/>
        <i/>
        <sz val="11"/>
        <color theme="1" tint="4.9989318521683403E-2"/>
        <rFont val="Calibri"/>
        <family val="2"/>
        <scheme val="major"/>
      </rPr>
      <t xml:space="preserve"> </t>
    </r>
    <r>
      <rPr>
        <b/>
        <i/>
        <sz val="11"/>
        <color theme="1" tint="4.9989318521683403E-2"/>
        <rFont val="Calibri"/>
        <family val="3"/>
        <charset val="129"/>
        <scheme val="major"/>
      </rPr>
      <t>바이트</t>
    </r>
    <phoneticPr fontId="15" type="noConversion"/>
  </si>
  <si>
    <r>
      <rPr>
        <sz val="11"/>
        <color rgb="FF1F1F1F"/>
        <rFont val="Calibri"/>
        <family val="3"/>
        <scheme val="major"/>
      </rPr>
      <t>후처리할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이미지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슬롯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번호</t>
    </r>
  </si>
  <si>
    <r>
      <rPr>
        <sz val="11"/>
        <color rgb="FF1F1F1F"/>
        <rFont val="Calibri"/>
        <family val="3"/>
        <scheme val="major"/>
      </rPr>
      <t>슬롯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내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이미지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번호</t>
    </r>
  </si>
  <si>
    <r>
      <rPr>
        <b/>
        <i/>
        <sz val="11"/>
        <color theme="1" tint="4.9989318521683403E-2"/>
        <rFont val="Calibri"/>
        <family val="3"/>
        <scheme val="major"/>
      </rPr>
      <t>총</t>
    </r>
    <r>
      <rPr>
        <b/>
        <i/>
        <sz val="11"/>
        <color theme="1" tint="4.9989318521683403E-2"/>
        <rFont val="Calibri"/>
        <family val="2"/>
        <scheme val="major"/>
      </rPr>
      <t xml:space="preserve"> </t>
    </r>
    <r>
      <rPr>
        <b/>
        <i/>
        <sz val="11"/>
        <color theme="1" tint="4.9989318521683403E-2"/>
        <rFont val="Calibri"/>
        <family val="3"/>
        <scheme val="major"/>
      </rPr>
      <t>전송</t>
    </r>
    <r>
      <rPr>
        <b/>
        <i/>
        <sz val="11"/>
        <color theme="1" tint="4.9989318521683403E-2"/>
        <rFont val="Calibri"/>
        <family val="2"/>
        <scheme val="major"/>
      </rPr>
      <t xml:space="preserve"> </t>
    </r>
    <r>
      <rPr>
        <b/>
        <i/>
        <sz val="11"/>
        <color theme="1" tint="4.9989318521683403E-2"/>
        <rFont val="Calibri"/>
        <family val="3"/>
        <scheme val="major"/>
      </rPr>
      <t>바이트</t>
    </r>
  </si>
  <si>
    <r>
      <rPr>
        <sz val="11"/>
        <color rgb="FF1F1F1F"/>
        <rFont val="Calibri"/>
        <family val="3"/>
        <scheme val="major"/>
      </rPr>
      <t>해당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이미지의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슬롯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번호</t>
    </r>
  </si>
  <si>
    <r>
      <rPr>
        <sz val="11"/>
        <color rgb="FF1F1F1F"/>
        <rFont val="Calibri"/>
        <family val="3"/>
        <scheme val="major"/>
      </rPr>
      <t>해당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이미지의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번호</t>
    </r>
  </si>
  <si>
    <r>
      <rPr>
        <sz val="11"/>
        <color rgb="FF1F1F1F"/>
        <rFont val="Calibri"/>
        <family val="3"/>
        <scheme val="major"/>
      </rPr>
      <t>해당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이미지의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전체</t>
    </r>
    <r>
      <rPr>
        <sz val="11"/>
        <color rgb="FF1F1F1F"/>
        <rFont val="Calibri"/>
        <family val="2"/>
        <scheme val="major"/>
      </rPr>
      <t xml:space="preserve"> chunk </t>
    </r>
    <r>
      <rPr>
        <sz val="11"/>
        <color rgb="FF1F1F1F"/>
        <rFont val="Calibri"/>
        <family val="3"/>
        <scheme val="major"/>
      </rPr>
      <t>개수</t>
    </r>
    <r>
      <rPr>
        <sz val="11"/>
        <color rgb="FF1F1F1F"/>
        <rFont val="Calibri"/>
        <family val="2"/>
        <scheme val="major"/>
      </rPr>
      <t xml:space="preserve"> (uint16, Big-endian)</t>
    </r>
  </si>
  <si>
    <r>
      <rPr>
        <sz val="11"/>
        <color rgb="FF1F1F1F"/>
        <rFont val="Calibri"/>
        <family val="3"/>
        <scheme val="major"/>
      </rPr>
      <t>마지막</t>
    </r>
    <r>
      <rPr>
        <sz val="11"/>
        <color rgb="FF1F1F1F"/>
        <rFont val="Calibri"/>
        <family val="2"/>
        <scheme val="major"/>
      </rPr>
      <t xml:space="preserve"> chunk</t>
    </r>
    <r>
      <rPr>
        <sz val="11"/>
        <color rgb="FF1F1F1F"/>
        <rFont val="Calibri"/>
        <family val="3"/>
        <scheme val="major"/>
      </rPr>
      <t>의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유효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데이터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크기</t>
    </r>
    <r>
      <rPr>
        <sz val="11"/>
        <color rgb="FF1F1F1F"/>
        <rFont val="Calibri"/>
        <family val="2"/>
        <scheme val="major"/>
      </rPr>
      <t xml:space="preserve"> (bytes)</t>
    </r>
  </si>
  <si>
    <r>
      <rPr>
        <sz val="11"/>
        <color rgb="FF1F1F1F"/>
        <rFont val="Calibri"/>
        <family val="3"/>
        <scheme val="major"/>
      </rPr>
      <t>다운로드할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이미지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슬롯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번호</t>
    </r>
  </si>
  <si>
    <r>
      <rPr>
        <sz val="11"/>
        <color rgb="FF1F1F1F"/>
        <rFont val="Calibri"/>
        <family val="3"/>
        <scheme val="major"/>
      </rPr>
      <t>요청할</t>
    </r>
    <r>
      <rPr>
        <sz val="11"/>
        <color rgb="FF1F1F1F"/>
        <rFont val="Calibri"/>
        <family val="2"/>
        <scheme val="major"/>
      </rPr>
      <t xml:space="preserve"> chunk </t>
    </r>
    <r>
      <rPr>
        <sz val="11"/>
        <color rgb="FF1F1F1F"/>
        <rFont val="Calibri"/>
        <family val="3"/>
        <scheme val="major"/>
      </rPr>
      <t>번호</t>
    </r>
  </si>
  <si>
    <r>
      <rPr>
        <sz val="11"/>
        <color rgb="FF1F1F1F"/>
        <rFont val="Calibri"/>
        <family val="3"/>
        <scheme val="major"/>
      </rPr>
      <t>전송되는</t>
    </r>
    <r>
      <rPr>
        <sz val="11"/>
        <color rgb="FF1F1F1F"/>
        <rFont val="Calibri"/>
        <family val="2"/>
        <scheme val="major"/>
      </rPr>
      <t xml:space="preserve"> chunk </t>
    </r>
    <r>
      <rPr>
        <sz val="11"/>
        <color rgb="FF1F1F1F"/>
        <rFont val="Calibri"/>
        <family val="3"/>
        <scheme val="major"/>
      </rPr>
      <t>번호</t>
    </r>
  </si>
  <si>
    <r>
      <rPr>
        <sz val="11"/>
        <color rgb="FF1F1F1F"/>
        <rFont val="Calibri"/>
        <family val="3"/>
        <scheme val="major"/>
      </rPr>
      <t>해당</t>
    </r>
    <r>
      <rPr>
        <sz val="11"/>
        <color rgb="FF1F1F1F"/>
        <rFont val="Calibri"/>
        <family val="2"/>
        <scheme val="major"/>
      </rPr>
      <t xml:space="preserve"> chunk</t>
    </r>
    <r>
      <rPr>
        <sz val="11"/>
        <color rgb="FF1F1F1F"/>
        <rFont val="Calibri"/>
        <family val="3"/>
        <scheme val="major"/>
      </rPr>
      <t>의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이미지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데이터</t>
    </r>
    <r>
      <rPr>
        <sz val="11"/>
        <color rgb="FF1F1F1F"/>
        <rFont val="Calibri"/>
        <family val="2"/>
        <scheme val="major"/>
      </rPr>
      <t xml:space="preserve"> (</t>
    </r>
    <r>
      <rPr>
        <sz val="11"/>
        <color rgb="FF1F1F1F"/>
        <rFont val="Calibri"/>
        <family val="3"/>
        <scheme val="major"/>
      </rPr>
      <t>바이트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배열</t>
    </r>
    <r>
      <rPr>
        <sz val="11"/>
        <color rgb="FF1F1F1F"/>
        <rFont val="Calibri"/>
        <family val="2"/>
        <scheme val="major"/>
      </rPr>
      <t>)</t>
    </r>
  </si>
  <si>
    <r>
      <rPr>
        <sz val="11"/>
        <color rgb="FF1F1F1F"/>
        <rFont val="Calibri"/>
        <family val="3"/>
        <scheme val="major"/>
      </rPr>
      <t>카메라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촬영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누적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횟수</t>
    </r>
  </si>
  <si>
    <r>
      <rPr>
        <sz val="11"/>
        <color rgb="FF1F1F1F"/>
        <rFont val="Calibri"/>
        <family val="3"/>
        <scheme val="major"/>
      </rPr>
      <t>여유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디스크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Calibri"/>
        <family val="3"/>
        <scheme val="major"/>
      </rPr>
      <t>용량</t>
    </r>
    <r>
      <rPr>
        <sz val="11"/>
        <color rgb="FF1F1F1F"/>
        <rFont val="Calibri"/>
        <family val="2"/>
        <scheme val="major"/>
      </rPr>
      <t xml:space="preserve"> (MB)</t>
    </r>
  </si>
  <si>
    <r>
      <rPr>
        <b/>
        <i/>
        <sz val="11"/>
        <color theme="1" tint="4.9989318521683403E-2"/>
        <rFont val="맑은 고딕"/>
        <family val="3"/>
        <charset val="129"/>
      </rPr>
      <t>총</t>
    </r>
    <r>
      <rPr>
        <b/>
        <i/>
        <sz val="11"/>
        <color theme="1" tint="4.9989318521683403E-2"/>
        <rFont val="Calibri"/>
        <family val="2"/>
        <scheme val="major"/>
      </rPr>
      <t xml:space="preserve"> </t>
    </r>
    <r>
      <rPr>
        <b/>
        <i/>
        <sz val="11"/>
        <color theme="1" tint="4.9989318521683403E-2"/>
        <rFont val="맑은 고딕"/>
        <family val="3"/>
        <charset val="129"/>
      </rPr>
      <t>전송</t>
    </r>
    <r>
      <rPr>
        <b/>
        <i/>
        <sz val="11"/>
        <color theme="1" tint="4.9989318521683403E-2"/>
        <rFont val="Calibri"/>
        <family val="2"/>
        <scheme val="major"/>
      </rPr>
      <t xml:space="preserve"> </t>
    </r>
    <r>
      <rPr>
        <b/>
        <i/>
        <sz val="11"/>
        <color theme="1" tint="4.9989318521683403E-2"/>
        <rFont val="맑은 고딕"/>
        <family val="3"/>
        <charset val="129"/>
      </rPr>
      <t>바이트</t>
    </r>
    <phoneticPr fontId="15" type="noConversion"/>
  </si>
  <si>
    <t>0x00</t>
    <phoneticPr fontId="15" type="noConversion"/>
  </si>
  <si>
    <r>
      <rPr>
        <sz val="11"/>
        <color rgb="FF1F1F1F"/>
        <rFont val="맑은 고딕"/>
        <family val="3"/>
        <charset val="129"/>
      </rPr>
      <t>슬롯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내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이미지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번호</t>
    </r>
    <phoneticPr fontId="15" type="noConversion"/>
  </si>
  <si>
    <t>CRC16 (CCITT-FALSE), Cmd~payload (excl. CRC), BE</t>
  </si>
  <si>
    <t>CRC32 (ISO-HDLC), Cmd~payload (excl. CRC), BE</t>
  </si>
  <si>
    <r>
      <rPr>
        <b/>
        <sz val="11"/>
        <color rgb="FF1F1F1F"/>
        <rFont val="맑은 고딕"/>
        <family val="3"/>
        <charset val="129"/>
      </rPr>
      <t>사진</t>
    </r>
    <r>
      <rPr>
        <b/>
        <sz val="11"/>
        <color rgb="FF1F1F1F"/>
        <rFont val="Calibri"/>
        <family val="2"/>
        <scheme val="major"/>
      </rPr>
      <t xml:space="preserve"> </t>
    </r>
    <r>
      <rPr>
        <b/>
        <sz val="11"/>
        <color rgb="FF1F1F1F"/>
        <rFont val="맑은 고딕"/>
        <family val="3"/>
        <charset val="129"/>
      </rPr>
      <t>촬영</t>
    </r>
    <r>
      <rPr>
        <b/>
        <sz val="11"/>
        <color rgb="FF1F1F1F"/>
        <rFont val="Calibri"/>
        <family val="2"/>
        <scheme val="major"/>
      </rPr>
      <t xml:space="preserve"> </t>
    </r>
    <r>
      <rPr>
        <b/>
        <sz val="11"/>
        <color rgb="FF1F1F1F"/>
        <rFont val="맑은 고딕"/>
        <family val="3"/>
        <charset val="129"/>
      </rPr>
      <t>요청</t>
    </r>
    <phoneticPr fontId="15" type="noConversion"/>
  </si>
  <si>
    <t>from. NARA OBC (REQ)</t>
    <phoneticPr fontId="15" type="noConversion"/>
  </si>
  <si>
    <t>To.  CAM INTERFACE Board (RES)</t>
    <phoneticPr fontId="15" type="noConversion"/>
  </si>
  <si>
    <r>
      <rPr>
        <sz val="11"/>
        <color rgb="FF1F1F1F"/>
        <rFont val="맑은 고딕"/>
        <family val="3"/>
        <charset val="129"/>
      </rPr>
      <t>이미지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파일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전체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데이터에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대한</t>
    </r>
    <r>
      <rPr>
        <sz val="11"/>
        <color rgb="FF1F1F1F"/>
        <rFont val="Calibri"/>
        <family val="2"/>
        <scheme val="major"/>
      </rPr>
      <t xml:space="preserve"> CRC32 (chunk </t>
    </r>
    <r>
      <rPr>
        <sz val="11"/>
        <color rgb="FF1F1F1F"/>
        <rFont val="맑은 고딕"/>
        <family val="3"/>
        <charset val="129"/>
      </rPr>
      <t>분할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이전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계산</t>
    </r>
    <r>
      <rPr>
        <sz val="11"/>
        <color rgb="FF1F1F1F"/>
        <rFont val="Calibri"/>
        <family val="2"/>
        <scheme val="major"/>
      </rPr>
      <t>, BE)</t>
    </r>
    <phoneticPr fontId="15" type="noConversion"/>
  </si>
  <si>
    <r>
      <t xml:space="preserve">247 bytes (last chunk </t>
    </r>
    <r>
      <rPr>
        <sz val="11"/>
        <color rgb="FF1F1F1F"/>
        <rFont val="맑은 고딕"/>
        <family val="3"/>
        <charset val="129"/>
      </rPr>
      <t>제외</t>
    </r>
    <r>
      <rPr>
        <sz val="11"/>
        <color rgb="FF1F1F1F"/>
        <rFont val="Calibri"/>
        <family val="2"/>
        <scheme val="major"/>
      </rPr>
      <t>)</t>
    </r>
    <phoneticPr fontId="15" type="noConversion"/>
  </si>
  <si>
    <r>
      <t xml:space="preserve">3. N5C Status / Error </t>
    </r>
    <r>
      <rPr>
        <b/>
        <sz val="11"/>
        <color rgb="FFFFFFFF"/>
        <rFont val="맑은 고딕"/>
        <family val="3"/>
        <charset val="129"/>
      </rPr>
      <t>코드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표</t>
    </r>
    <phoneticPr fontId="15" type="noConversion"/>
  </si>
  <si>
    <r>
      <t xml:space="preserve">2. </t>
    </r>
    <r>
      <rPr>
        <b/>
        <sz val="11"/>
        <color rgb="FFFFFFFF"/>
        <rFont val="맑은 고딕"/>
        <family val="3"/>
        <charset val="129"/>
      </rPr>
      <t>카메라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바이닝</t>
    </r>
    <r>
      <rPr>
        <b/>
        <sz val="11"/>
        <color rgb="FFFFFFFF"/>
        <rFont val="Calibri"/>
        <family val="2"/>
      </rPr>
      <t xml:space="preserve"> image number</t>
    </r>
    <r>
      <rPr>
        <b/>
        <sz val="11"/>
        <color rgb="FFFFFFFF"/>
        <rFont val="맑은 고딕"/>
        <family val="3"/>
        <charset val="129"/>
      </rPr>
      <t>표</t>
    </r>
    <phoneticPr fontId="15" type="noConversion"/>
  </si>
  <si>
    <r>
      <t xml:space="preserve">1. </t>
    </r>
    <r>
      <rPr>
        <b/>
        <sz val="11"/>
        <color rgb="FFFFFFFF"/>
        <rFont val="맑은 고딕"/>
        <family val="3"/>
        <charset val="129"/>
      </rPr>
      <t>엔디언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규칙표</t>
    </r>
    <phoneticPr fontId="15" type="noConversion"/>
  </si>
  <si>
    <r>
      <t xml:space="preserve">3. </t>
    </r>
    <r>
      <rPr>
        <b/>
        <sz val="11"/>
        <color rgb="FFFFFFFF"/>
        <rFont val="맑은 고딕"/>
        <family val="2"/>
        <charset val="129"/>
      </rPr>
      <t xml:space="preserve">공통 </t>
    </r>
    <r>
      <rPr>
        <b/>
        <sz val="11"/>
        <color rgb="FFFFFFFF"/>
        <rFont val="Calibri"/>
        <family val="2"/>
      </rPr>
      <t xml:space="preserve">Payload </t>
    </r>
    <r>
      <rPr>
        <b/>
        <sz val="11"/>
        <color rgb="FFFFFFFF"/>
        <rFont val="맑은 고딕"/>
        <family val="2"/>
        <charset val="129"/>
      </rPr>
      <t>규칙</t>
    </r>
    <phoneticPr fontId="15" type="noConversion"/>
  </si>
  <si>
    <t>Payload 규칙</t>
  </si>
  <si>
    <t>항목</t>
    <phoneticPr fontId="15" type="noConversion"/>
  </si>
  <si>
    <t>내용</t>
    <phoneticPr fontId="15" type="noConversion"/>
  </si>
  <si>
    <t>고정 길이 필드</t>
    <phoneticPr fontId="15" type="noConversion"/>
  </si>
  <si>
    <t>패딩 규칙</t>
    <phoneticPr fontId="15" type="noConversion"/>
  </si>
  <si>
    <r>
      <t xml:space="preserve">CRC </t>
    </r>
    <r>
      <rPr>
        <sz val="11"/>
        <color rgb="FF1F1F1F"/>
        <rFont val="맑은 고딕"/>
        <family val="2"/>
        <charset val="129"/>
      </rPr>
      <t>계산 범위</t>
    </r>
    <phoneticPr fontId="15" type="noConversion"/>
  </si>
  <si>
    <t>적용 범위</t>
    <phoneticPr fontId="15" type="noConversion"/>
  </si>
  <si>
    <t>엔디언</t>
    <phoneticPr fontId="15" type="noConversion"/>
  </si>
  <si>
    <r>
      <rPr>
        <sz val="11"/>
        <color rgb="FF1F1F1F"/>
        <rFont val="맑은 고딕"/>
        <family val="2"/>
        <charset val="129"/>
      </rPr>
      <t>모든</t>
    </r>
    <r>
      <rPr>
        <sz val="11"/>
        <color rgb="FF1F1F1F"/>
        <rFont val="Calibri"/>
        <family val="2"/>
      </rPr>
      <t xml:space="preserve"> CMD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필드</t>
    </r>
    <phoneticPr fontId="15" type="noConversion"/>
  </si>
  <si>
    <r>
      <rPr>
        <sz val="11"/>
        <color rgb="FF1F1F1F"/>
        <rFont val="맑은 고딕"/>
        <family val="2"/>
        <charset val="129"/>
      </rPr>
      <t>모든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멀티바이트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필드는</t>
    </r>
    <r>
      <rPr>
        <sz val="11"/>
        <color rgb="FF1F1F1F"/>
        <rFont val="Calibri"/>
        <family val="2"/>
      </rPr>
      <t xml:space="preserve"> Big-endian(MSB first)</t>
    </r>
    <r>
      <rPr>
        <sz val="11"/>
        <color rgb="FF1F1F1F"/>
        <rFont val="맑은 고딕"/>
        <family val="2"/>
        <charset val="129"/>
      </rPr>
      <t>으로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전송</t>
    </r>
    <phoneticPr fontId="15" type="noConversion"/>
  </si>
  <si>
    <r>
      <rPr>
        <sz val="11"/>
        <color rgb="FF1F1F1F"/>
        <rFont val="맑은 고딕"/>
        <family val="2"/>
        <charset val="129"/>
      </rPr>
      <t>고정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길이로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정의된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필드는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항상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지정된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길이로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전송</t>
    </r>
    <phoneticPr fontId="15" type="noConversion"/>
  </si>
  <si>
    <r>
      <t>Cmd</t>
    </r>
    <r>
      <rPr>
        <sz val="11"/>
        <color rgb="FF1F1F1F"/>
        <rFont val="맑은 고딕"/>
        <family val="2"/>
        <charset val="129"/>
      </rPr>
      <t>부터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마지막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바이트까지</t>
    </r>
    <r>
      <rPr>
        <sz val="11"/>
        <color rgb="FF1F1F1F"/>
        <rFont val="Calibri"/>
        <family val="2"/>
      </rPr>
      <t xml:space="preserve"> (CRC </t>
    </r>
    <r>
      <rPr>
        <sz val="11"/>
        <color rgb="FF1F1F1F"/>
        <rFont val="맑은 고딕"/>
        <family val="2"/>
        <charset val="129"/>
      </rPr>
      <t>필드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제외</t>
    </r>
    <r>
      <rPr>
        <sz val="11"/>
        <color rgb="FF1F1F1F"/>
        <rFont val="Calibri"/>
        <family val="2"/>
      </rPr>
      <t>)</t>
    </r>
    <phoneticPr fontId="15" type="noConversion"/>
  </si>
  <si>
    <r>
      <rPr>
        <sz val="11"/>
        <color rgb="FF1F1F1F"/>
        <rFont val="Calibri"/>
        <family val="2"/>
      </rPr>
      <t>CMD 0x45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마지막</t>
    </r>
    <r>
      <rPr>
        <sz val="11"/>
        <color rgb="FF1F1F1F"/>
        <rFont val="Calibri"/>
        <family val="2"/>
      </rPr>
      <t xml:space="preserve"> chunk</t>
    </r>
    <r>
      <rPr>
        <sz val="11"/>
        <color rgb="FF1F1F1F"/>
        <rFont val="맑은 고딕"/>
        <family val="2"/>
        <charset val="129"/>
      </rPr>
      <t>는</t>
    </r>
    <r>
      <rPr>
        <sz val="11"/>
        <color rgb="FF1F1F1F"/>
        <rFont val="Calibri"/>
        <family val="2"/>
      </rPr>
      <t xml:space="preserve"> Last Chunk Size</t>
    </r>
    <r>
      <rPr>
        <sz val="11"/>
        <color rgb="FF1F1F1F"/>
        <rFont val="맑은 고딕"/>
        <family val="2"/>
        <charset val="129"/>
      </rPr>
      <t>만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유효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처리</t>
    </r>
    <phoneticPr fontId="15" type="noConversion"/>
  </si>
  <si>
    <t>247 bytes</t>
    <phoneticPr fontId="15" type="noConversion"/>
  </si>
  <si>
    <r>
      <rPr>
        <sz val="11"/>
        <color rgb="FF1F1F1F"/>
        <rFont val="맑은 고딕"/>
        <family val="3"/>
        <charset val="129"/>
      </rPr>
      <t>카메라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인식</t>
    </r>
    <r>
      <rPr>
        <sz val="11"/>
        <color rgb="FF1F1F1F"/>
        <rFont val="Calibri"/>
        <family val="2"/>
        <scheme val="major"/>
      </rPr>
      <t xml:space="preserve"> </t>
    </r>
    <r>
      <rPr>
        <sz val="11"/>
        <color rgb="FF1F1F1F"/>
        <rFont val="맑은 고딕"/>
        <family val="3"/>
        <charset val="129"/>
      </rPr>
      <t>여부</t>
    </r>
    <r>
      <rPr>
        <sz val="11"/>
        <color rgb="FF1F1F1F"/>
        <rFont val="Calibri"/>
        <family val="2"/>
        <scheme val="major"/>
      </rPr>
      <t xml:space="preserve"> (02_Protocol </t>
    </r>
    <r>
      <rPr>
        <sz val="11"/>
        <color rgb="FF1F1F1F"/>
        <rFont val="맑은 고딕"/>
        <family val="2"/>
        <charset val="129"/>
      </rPr>
      <t>참조)</t>
    </r>
    <phoneticPr fontId="15" type="noConversion"/>
  </si>
  <si>
    <t>00, E1, E2, E3</t>
    <phoneticPr fontId="15" type="noConversion"/>
  </si>
  <si>
    <t>0x00 | 0xE1</t>
    <phoneticPr fontId="15" type="noConversion"/>
  </si>
  <si>
    <t>0x00 0x01</t>
    <phoneticPr fontId="15" type="noConversion"/>
  </si>
  <si>
    <t>0x39 0x23</t>
    <phoneticPr fontId="15" type="noConversion"/>
  </si>
  <si>
    <t>0x11 0x22 0x33 0x44</t>
    <phoneticPr fontId="15" type="noConversion"/>
  </si>
  <si>
    <t>0x25 0x23</t>
    <phoneticPr fontId="15" type="noConversion"/>
  </si>
  <si>
    <t>0x01</t>
    <phoneticPr fontId="15" type="noConversion"/>
  </si>
  <si>
    <t>0x02</t>
    <phoneticPr fontId="15" type="noConversion"/>
  </si>
  <si>
    <t>0x12 0x34</t>
    <phoneticPr fontId="15" type="noConversion"/>
  </si>
  <si>
    <t>0x46</t>
    <phoneticPr fontId="15" type="noConversion"/>
  </si>
  <si>
    <t>0x23 0x34</t>
    <phoneticPr fontId="15" type="noConversion"/>
  </si>
  <si>
    <t>0x12</t>
    <phoneticPr fontId="15" type="noConversion"/>
  </si>
  <si>
    <t>0x23</t>
    <phoneticPr fontId="15" type="noConversion"/>
  </si>
  <si>
    <t>0x34 0x45</t>
    <phoneticPr fontId="15" type="noConversion"/>
  </si>
  <si>
    <t>0xA4 0x1B 0x2C 0x3D</t>
    <phoneticPr fontId="15" type="noConversion"/>
  </si>
  <si>
    <t>Error</t>
    <phoneticPr fontId="15" type="noConversion"/>
  </si>
  <si>
    <t>0xF7</t>
    <phoneticPr fontId="15" type="noConversion"/>
  </si>
  <si>
    <t>N5C_E_CRC_FAIL</t>
    <phoneticPr fontId="15" type="noConversion"/>
  </si>
  <si>
    <r>
      <t xml:space="preserve">CRC </t>
    </r>
    <r>
      <rPr>
        <sz val="11"/>
        <color rgb="FF1F1F1F"/>
        <rFont val="맑은 고딕"/>
        <family val="2"/>
        <charset val="129"/>
      </rPr>
      <t>에러</t>
    </r>
    <phoneticPr fontId="15" type="noConversion"/>
  </si>
  <si>
    <t>256 bytes (hdr 5B + data 251B)</t>
    <phoneticPr fontId="15" type="noConversion"/>
  </si>
  <si>
    <t>CRC16 (CCITT-FALSE), Cmd~payload (excl. CRC), BE</t>
    <phoneticPr fontId="15" type="noConversion"/>
  </si>
  <si>
    <t>0x43</t>
    <phoneticPr fontId="15" type="noConversion"/>
  </si>
  <si>
    <t>Image Slot</t>
    <phoneticPr fontId="15" type="noConversion"/>
  </si>
  <si>
    <t>Image Number</t>
    <phoneticPr fontId="15" type="noConversion"/>
  </si>
  <si>
    <r>
      <t xml:space="preserve">3 -1 error </t>
    </r>
    <r>
      <rPr>
        <b/>
        <sz val="11"/>
        <color rgb="FFFFFFFF"/>
        <rFont val="맑은 고딕"/>
        <family val="2"/>
        <charset val="129"/>
      </rPr>
      <t>타입 예시</t>
    </r>
    <phoneticPr fontId="15" type="noConversion"/>
  </si>
  <si>
    <t>command</t>
    <phoneticPr fontId="15" type="noConversion"/>
  </si>
  <si>
    <t>error_code</t>
    <phoneticPr fontId="15" type="noConversion"/>
  </si>
  <si>
    <t>1byte</t>
    <phoneticPr fontId="15" type="noConversion"/>
  </si>
  <si>
    <t>1bye</t>
    <phoneticPr fontId="15" type="noConversion"/>
  </si>
  <si>
    <t>crc16</t>
    <phoneticPr fontId="15" type="noConversion"/>
  </si>
  <si>
    <t>2byte</t>
    <phoneticPr fontId="15" type="noConversion"/>
  </si>
  <si>
    <t>0x41</t>
    <phoneticPr fontId="15" type="noConversion"/>
  </si>
  <si>
    <t>강상연</t>
    <phoneticPr fontId="15" type="noConversion"/>
  </si>
  <si>
    <t>패딩 규칙 변경</t>
    <phoneticPr fontId="15" type="noConversion"/>
  </si>
  <si>
    <t>오류코드 및 오류반환 양식</t>
    <phoneticPr fontId="15" type="noConversion"/>
  </si>
  <si>
    <r>
      <t xml:space="preserve"> </t>
    </r>
    <r>
      <rPr>
        <sz val="11"/>
        <color rgb="FF000000"/>
        <rFont val="Calibri"/>
        <family val="3"/>
        <charset val="129"/>
        <scheme val="minor"/>
      </rPr>
      <t>후처리</t>
    </r>
    <r>
      <rPr>
        <sz val="11"/>
        <color rgb="FF000000"/>
        <rFont val="Calibri"/>
        <family val="3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응답</t>
    </r>
    <r>
      <rPr>
        <sz val="11"/>
        <color rgb="FF000000"/>
        <rFont val="Calibri"/>
        <family val="3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양식</t>
    </r>
    <r>
      <rPr>
        <sz val="11"/>
        <color rgb="FF000000"/>
        <rFont val="Calibri"/>
        <family val="3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변경</t>
    </r>
    <r>
      <rPr>
        <sz val="11"/>
        <color rgb="FF000000"/>
        <rFont val="Calibri"/>
        <family val="3"/>
        <scheme val="minor"/>
      </rPr>
      <t xml:space="preserve"> </t>
    </r>
  </si>
  <si>
    <r>
      <t xml:space="preserve">0x41 </t>
    </r>
    <r>
      <rPr>
        <sz val="11"/>
        <color rgb="FF000000"/>
        <rFont val="맑은 고딕"/>
        <family val="3"/>
        <charset val="129"/>
      </rPr>
      <t>응답 양식 변경</t>
    </r>
    <phoneticPr fontId="15" type="noConversion"/>
  </si>
  <si>
    <r>
      <rPr>
        <sz val="11"/>
        <color rgb="FF1F1F1F"/>
        <rFont val="Calibri"/>
        <family val="2"/>
      </rPr>
      <t>payload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남는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영역은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패딩하지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않음</t>
    </r>
    <phoneticPr fontId="15" type="noConversion"/>
  </si>
  <si>
    <t>0xE1</t>
    <phoneticPr fontId="15" type="noConversion"/>
  </si>
  <si>
    <t>0xE2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</si>
</sst>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0&quot;byte&quot;"/>
    <numFmt numFmtId="177" formatCode="yyyy\-mm\-dd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scheme val="minor"/>
    </font>
    <font>
      <sz val="11"/>
      <color rgb="FF000000"/>
      <name val="Calibri"/>
      <family val="3"/>
      <scheme val="minor"/>
    </font>
    <font>
      <b/>
      <sz val="11"/>
      <color rgb="FFFFFFFF"/>
      <name val="Calibri"/>
      <family val="2"/>
    </font>
    <font>
      <sz val="11"/>
      <color rgb="FF1F1F1F"/>
      <name val="Calibri"/>
      <family val="2"/>
    </font>
    <font>
      <b/>
      <sz val="11"/>
      <color rgb="FF1F1F1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1F1F1F"/>
      <name val="Calibri"/>
      <family val="2"/>
    </font>
    <font>
      <b/>
      <sz val="11"/>
      <color rgb="FF1F1F1F"/>
      <name val="Calibri"/>
      <family val="2"/>
    </font>
    <font>
      <sz val="11"/>
      <color rgb="FF000000"/>
      <name val="맑은 고딕"/>
      <family val="3"/>
    </font>
    <font>
      <sz val="11"/>
      <color rgb="FF000000"/>
      <name val="Calibri"/>
      <family val="3"/>
    </font>
    <font>
      <i/>
      <sz val="11"/>
      <color rgb="FF666666"/>
      <name val="Calibri"/>
      <family val="2"/>
      <scheme val="major"/>
    </font>
    <font>
      <sz val="11"/>
      <color rgb="FF1F1F1F"/>
      <name val="Calibri"/>
      <family val="3"/>
    </font>
    <font>
      <sz val="8"/>
      <name val="Calibri"/>
      <family val="3"/>
      <charset val="129"/>
      <scheme val="minor"/>
    </font>
    <font>
      <sz val="11"/>
      <color rgb="FF1F1F1F"/>
      <name val="맑은 고딕"/>
      <family val="3"/>
      <charset val="129"/>
    </font>
    <font>
      <b/>
      <i/>
      <sz val="11"/>
      <color theme="1" tint="4.9989318521683403E-2"/>
      <name val="맑은 고딕"/>
      <family val="3"/>
      <charset val="129"/>
    </font>
    <font>
      <b/>
      <i/>
      <sz val="11"/>
      <color theme="1" tint="4.9989318521683403E-2"/>
      <name val="Calibri"/>
      <family val="2"/>
      <scheme val="major"/>
    </font>
    <font>
      <b/>
      <i/>
      <sz val="11"/>
      <color theme="1" tint="4.9989318521683403E-2"/>
      <name val="Calibri"/>
      <family val="3"/>
      <charset val="129"/>
      <scheme val="major"/>
    </font>
    <font>
      <b/>
      <sz val="11"/>
      <color rgb="FFFFFFFF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color rgb="FF1F1F1F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1F1F1F"/>
      <name val="Calibri"/>
      <family val="2"/>
      <scheme val="major"/>
    </font>
    <font>
      <sz val="11"/>
      <color rgb="FF1F1F1F"/>
      <name val="Calibri"/>
      <family val="3"/>
      <scheme val="major"/>
    </font>
    <font>
      <b/>
      <i/>
      <sz val="11"/>
      <color theme="1" tint="4.9989318521683403E-2"/>
      <name val="Calibri"/>
      <family val="3"/>
      <scheme val="major"/>
    </font>
    <font>
      <sz val="11"/>
      <color rgb="FF1F1F1F"/>
      <name val="Calibri"/>
      <family val="3"/>
      <charset val="129"/>
      <scheme val="major"/>
    </font>
    <font>
      <b/>
      <sz val="11"/>
      <color rgb="FF1F1F1F"/>
      <name val="Calibri"/>
      <family val="3"/>
      <charset val="129"/>
      <scheme val="major"/>
    </font>
    <font>
      <b/>
      <sz val="11"/>
      <color rgb="FF1F1F1F"/>
      <name val="맑은 고딕"/>
      <family val="3"/>
      <charset val="129"/>
    </font>
    <font>
      <sz val="11"/>
      <color rgb="FF1F1F1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맑은 고딕"/>
      <family val="3"/>
      <charset val="129"/>
    </font>
    <font>
      <b/>
      <sz val="11"/>
      <color rgb="FF1F1F1F"/>
      <name val="맑은 고딕"/>
      <family val="2"/>
      <charset val="129"/>
    </font>
    <font>
      <sz val="11"/>
      <color rgb="FF1F1F1F"/>
      <name val="Calibri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7F9FC"/>
      </patternFill>
    </fill>
    <fill>
      <patternFill patternType="solid">
        <fgColor theme="3" tint="0.249977111117893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7F9FC"/>
        <bgColor indexed="64"/>
      </patternFill>
    </fill>
  </fills>
  <borders count="7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indexed="64"/>
      </bottom>
      <diagonal/>
    </border>
    <border>
      <left style="thin">
        <color indexed="64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rgb="FFA6A6A6"/>
      </right>
      <top style="thin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indexed="64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indexed="64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/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indexed="64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indexed="64"/>
      </left>
      <right style="thin">
        <color rgb="FFA6A6A6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indexed="64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theme="2" tint="-0.249977111117893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theme="2" tint="-0.49995422223578601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indexed="64"/>
      </bottom>
      <diagonal/>
    </border>
    <border>
      <left style="thin">
        <color rgb="FFA6A6A6"/>
      </left>
      <right style="thin">
        <color theme="2" tint="-0.49995422223578601"/>
      </right>
      <top style="thin">
        <color indexed="64"/>
      </top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rgb="FFA6A6A6"/>
      </left>
      <right style="thin">
        <color theme="2" tint="-0.49995422223578601"/>
      </right>
      <top style="thin">
        <color rgb="FFA6A6A6"/>
      </top>
      <bottom style="thin">
        <color indexed="64"/>
      </bottom>
      <diagonal/>
    </border>
    <border>
      <left style="thin">
        <color rgb="FFA6A6A6"/>
      </left>
      <right style="thin">
        <color theme="2" tint="-0.49995422223578601"/>
      </right>
      <top/>
      <bottom style="thin">
        <color rgb="FFA6A6A6"/>
      </bottom>
      <diagonal/>
    </border>
    <border>
      <left style="thin">
        <color rgb="FFA6A6A6"/>
      </left>
      <right style="thin">
        <color theme="2" tint="-0.749961851863155"/>
      </right>
      <top style="thin">
        <color rgb="FFA6A6A6"/>
      </top>
      <bottom style="thin">
        <color indexed="64"/>
      </bottom>
      <diagonal/>
    </border>
    <border>
      <left style="thin">
        <color rgb="FFA6A6A6"/>
      </left>
      <right style="thin">
        <color theme="2" tint="-0.749961851863155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theme="2" tint="-0.749961851863155"/>
      </right>
      <top style="thin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theme="2" tint="-0.749961851863155"/>
      </right>
      <top style="thin">
        <color rgb="FFA6A6A6"/>
      </top>
      <bottom style="thin">
        <color theme="2" tint="-0.49995422223578601"/>
      </bottom>
      <diagonal/>
    </border>
    <border>
      <left style="thin">
        <color rgb="FFA6A6A6"/>
      </left>
      <right style="thin">
        <color theme="2" tint="-0.49995422223578601"/>
      </right>
      <top/>
      <bottom/>
      <diagonal/>
    </border>
    <border>
      <left style="thin">
        <color rgb="FFA6A6A6"/>
      </left>
      <right style="thin">
        <color theme="2" tint="-0.49995422223578601"/>
      </right>
      <top style="thin">
        <color theme="2" tint="-0.749961851863155"/>
      </top>
      <bottom/>
      <diagonal/>
    </border>
    <border>
      <left style="thin">
        <color rgb="FFA6A6A6"/>
      </left>
      <right style="thin">
        <color theme="2" tint="-0.49995422223578601"/>
      </right>
      <top style="thin">
        <color theme="2" tint="-0.249977111117893"/>
      </top>
      <bottom style="thin">
        <color theme="2" tint="-0.749961851863155"/>
      </bottom>
      <diagonal/>
    </border>
    <border>
      <left style="thin">
        <color rgb="FFA6A6A6"/>
      </left>
      <right style="thin">
        <color theme="2" tint="-0.49995422223578601"/>
      </right>
      <top style="thin">
        <color theme="2" tint="-0.249977111117893"/>
      </top>
      <bottom/>
      <diagonal/>
    </border>
    <border>
      <left style="thin">
        <color rgb="FFA6A6A6"/>
      </left>
      <right style="thin">
        <color theme="2" tint="-0.49995422223578601"/>
      </right>
      <top/>
      <bottom style="thin">
        <color theme="2" tint="-0.249977111117893"/>
      </bottom>
      <diagonal/>
    </border>
    <border>
      <left style="thin">
        <color rgb="FFA6A6A6"/>
      </left>
      <right style="thin">
        <color theme="2" tint="-0.4999542222357860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theme="2" tint="-0.49995422223578601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theme="2" tint="-0.249977111117893"/>
      </left>
      <right style="thin">
        <color theme="2" tint="-0.49995422223578601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4999542222357860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49995422223578601"/>
      </right>
      <top/>
      <bottom style="thin">
        <color theme="2" tint="-0.249977111117893"/>
      </bottom>
      <diagonal/>
    </border>
    <border>
      <left style="thin">
        <color rgb="FFA6A6A6"/>
      </left>
      <right/>
      <top style="thin">
        <color indexed="64"/>
      </top>
      <bottom style="thin">
        <color rgb="FFA6A6A6"/>
      </bottom>
      <diagonal/>
    </border>
    <border>
      <left style="thin">
        <color theme="2" tint="-0.49995422223578601"/>
      </left>
      <right style="thin">
        <color rgb="FFA6A6A6"/>
      </right>
      <top style="thin">
        <color theme="2" tint="-0.49995422223578601"/>
      </top>
      <bottom style="thin">
        <color rgb="FFA6A6A6"/>
      </bottom>
      <diagonal/>
    </border>
    <border>
      <left/>
      <right/>
      <top style="thin">
        <color theme="2" tint="-0.49995422223578601"/>
      </top>
      <bottom style="thin">
        <color rgb="FFA6A6A6"/>
      </bottom>
      <diagonal/>
    </border>
    <border>
      <left/>
      <right style="thin">
        <color theme="2" tint="-0.49995422223578601"/>
      </right>
      <top style="thin">
        <color theme="2" tint="-0.49995422223578601"/>
      </top>
      <bottom style="thin">
        <color rgb="FFA6A6A6"/>
      </bottom>
      <diagonal/>
    </border>
    <border>
      <left style="thin">
        <color theme="2" tint="-0.49995422223578601"/>
      </left>
      <right style="thin">
        <color rgb="FFA6A6A6"/>
      </right>
      <top/>
      <bottom style="thin">
        <color rgb="FFA6A6A6"/>
      </bottom>
      <diagonal/>
    </border>
    <border>
      <left style="thin">
        <color theme="2" tint="-0.4999542222357860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6A6A6"/>
      </left>
      <right style="thin">
        <color theme="2" tint="-0.49995422223578601"/>
      </right>
      <top style="thin">
        <color rgb="FFA6A6A6"/>
      </top>
      <bottom style="thin">
        <color theme="2" tint="-0.249977111117893"/>
      </bottom>
      <diagonal/>
    </border>
    <border>
      <left style="thin">
        <color theme="2" tint="-0.49995422223578601"/>
      </left>
      <right style="thin">
        <color indexed="64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theme="2" tint="-0.49995422223578601"/>
      </bottom>
      <diagonal/>
    </border>
    <border>
      <left/>
      <right style="thin">
        <color rgb="FFA6A6A6"/>
      </right>
      <top style="thin">
        <color rgb="FFA6A6A6"/>
      </top>
      <bottom style="thin">
        <color theme="2" tint="-0.49995422223578601"/>
      </bottom>
      <diagonal/>
    </border>
    <border>
      <left style="thin">
        <color rgb="FFA6A6A6"/>
      </left>
      <right style="thin">
        <color theme="2" tint="-0.49995422223578601"/>
      </right>
      <top style="thin">
        <color rgb="FFA6A6A6"/>
      </top>
      <bottom style="thin">
        <color theme="2" tint="-0.49995422223578601"/>
      </bottom>
      <diagonal/>
    </border>
    <border>
      <left style="thin">
        <color rgb="FFA6A6A6"/>
      </left>
      <right style="thin">
        <color theme="2" tint="-0.49995422223578601"/>
      </right>
      <top style="thin">
        <color theme="2" tint="-0.49995422223578601"/>
      </top>
      <bottom style="thin">
        <color rgb="FFA6A6A6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rgb="FFA6A6A6"/>
      </bottom>
      <diagonal/>
    </border>
    <border>
      <left style="thin">
        <color theme="2" tint="-0.4999542222357860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</borders>
  <cellStyleXfs count="2">
    <xf numFmtId="0" fontId="0" fillId="0" borderId="0">
      <alignment vertical="center"/>
    </xf>
    <xf numFmtId="42" fontId="1" fillId="0" borderId="0">
      <alignment vertical="center"/>
    </xf>
  </cellStyleXfs>
  <cellXfs count="26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0" xfId="0" applyFont="1" applyAlignment="1"/>
    <xf numFmtId="0" fontId="3" fillId="3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/>
    <xf numFmtId="0" fontId="4" fillId="4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left" vertical="center" wrapText="1"/>
    </xf>
    <xf numFmtId="0" fontId="5" fillId="5" borderId="11" xfId="0" applyFont="1" applyFill="1" applyBorder="1" applyAlignment="1">
      <alignment horizontal="left" vertical="center" wrapText="1"/>
    </xf>
    <xf numFmtId="177" fontId="5" fillId="5" borderId="11" xfId="0" applyNumberFormat="1" applyFont="1" applyFill="1" applyBorder="1" applyAlignment="1">
      <alignment horizontal="left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left" vertical="top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left" vertical="top" wrapText="1"/>
    </xf>
    <xf numFmtId="176" fontId="6" fillId="6" borderId="11" xfId="0" applyNumberFormat="1" applyFont="1" applyFill="1" applyBorder="1" applyAlignment="1">
      <alignment horizontal="center" vertical="center" wrapText="1"/>
    </xf>
    <xf numFmtId="176" fontId="5" fillId="5" borderId="11" xfId="0" applyNumberFormat="1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left" vertical="center" wrapText="1"/>
    </xf>
    <xf numFmtId="176" fontId="5" fillId="7" borderId="11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left" vertical="center" wrapText="1"/>
    </xf>
    <xf numFmtId="0" fontId="5" fillId="7" borderId="12" xfId="0" applyFont="1" applyFill="1" applyBorder="1" applyAlignment="1">
      <alignment horizontal="center" vertical="center" wrapText="1"/>
    </xf>
    <xf numFmtId="176" fontId="5" fillId="7" borderId="12" xfId="0" applyNumberFormat="1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left" vertical="center" wrapText="1"/>
    </xf>
    <xf numFmtId="176" fontId="5" fillId="5" borderId="14" xfId="0" applyNumberFormat="1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left" vertical="center" wrapText="1"/>
    </xf>
    <xf numFmtId="0" fontId="5" fillId="5" borderId="12" xfId="0" applyFont="1" applyFill="1" applyBorder="1" applyAlignment="1">
      <alignment horizontal="center" vertical="center" wrapText="1"/>
    </xf>
    <xf numFmtId="176" fontId="5" fillId="5" borderId="12" xfId="0" applyNumberFormat="1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left" vertical="center" wrapText="1"/>
    </xf>
    <xf numFmtId="176" fontId="5" fillId="7" borderId="14" xfId="0" applyNumberFormat="1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top" wrapText="1"/>
    </xf>
    <xf numFmtId="0" fontId="5" fillId="7" borderId="12" xfId="0" applyFont="1" applyFill="1" applyBorder="1" applyAlignment="1">
      <alignment horizontal="center" vertical="top" wrapText="1"/>
    </xf>
    <xf numFmtId="0" fontId="5" fillId="7" borderId="11" xfId="0" applyFont="1" applyFill="1" applyBorder="1" applyAlignment="1">
      <alignment horizontal="center" vertical="top" wrapText="1"/>
    </xf>
    <xf numFmtId="0" fontId="5" fillId="5" borderId="12" xfId="0" applyFont="1" applyFill="1" applyBorder="1" applyAlignment="1">
      <alignment horizontal="center" vertical="top" wrapText="1"/>
    </xf>
    <xf numFmtId="0" fontId="5" fillId="5" borderId="11" xfId="0" applyFont="1" applyFill="1" applyBorder="1" applyAlignment="1">
      <alignment horizontal="right" vertical="top" wrapText="1"/>
    </xf>
    <xf numFmtId="0" fontId="5" fillId="7" borderId="11" xfId="0" applyFont="1" applyFill="1" applyBorder="1" applyAlignment="1">
      <alignment horizontal="right" vertical="top" wrapText="1"/>
    </xf>
    <xf numFmtId="0" fontId="5" fillId="7" borderId="17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center" vertical="center" wrapText="1"/>
    </xf>
    <xf numFmtId="176" fontId="5" fillId="7" borderId="17" xfId="0" applyNumberFormat="1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top" wrapText="1"/>
    </xf>
    <xf numFmtId="0" fontId="5" fillId="5" borderId="14" xfId="0" applyFont="1" applyFill="1" applyBorder="1" applyAlignment="1">
      <alignment horizontal="left" vertical="top" wrapText="1"/>
    </xf>
    <xf numFmtId="0" fontId="5" fillId="7" borderId="18" xfId="0" applyFont="1" applyFill="1" applyBorder="1" applyAlignment="1">
      <alignment horizontal="center" vertical="top" wrapText="1"/>
    </xf>
    <xf numFmtId="0" fontId="6" fillId="6" borderId="19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20" xfId="0" applyFont="1" applyFill="1" applyBorder="1" applyAlignment="1">
      <alignment horizontal="left" vertical="center" wrapText="1"/>
    </xf>
    <xf numFmtId="0" fontId="5" fillId="7" borderId="21" xfId="0" applyFont="1" applyFill="1" applyBorder="1" applyAlignment="1">
      <alignment horizontal="left" vertical="center" wrapText="1"/>
    </xf>
    <xf numFmtId="0" fontId="5" fillId="7" borderId="19" xfId="0" applyFont="1" applyFill="1" applyBorder="1" applyAlignment="1">
      <alignment horizontal="left" vertical="center" wrapText="1"/>
    </xf>
    <xf numFmtId="0" fontId="5" fillId="7" borderId="20" xfId="0" applyFont="1" applyFill="1" applyBorder="1" applyAlignment="1">
      <alignment horizontal="left" vertical="center" wrapText="1"/>
    </xf>
    <xf numFmtId="0" fontId="5" fillId="5" borderId="21" xfId="0" applyFont="1" applyFill="1" applyBorder="1" applyAlignment="1">
      <alignment horizontal="left" vertical="center" wrapText="1"/>
    </xf>
    <xf numFmtId="0" fontId="5" fillId="7" borderId="22" xfId="0" applyFont="1" applyFill="1" applyBorder="1" applyAlignment="1">
      <alignment horizontal="left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5" fillId="7" borderId="25" xfId="0" applyFont="1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6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31" xfId="0" applyFont="1" applyFill="1" applyBorder="1" applyAlignment="1">
      <alignment horizontal="left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22" fillId="6" borderId="11" xfId="0" applyFont="1" applyFill="1" applyBorder="1" applyAlignment="1">
      <alignment horizontal="center" vertical="center" wrapText="1"/>
    </xf>
    <xf numFmtId="176" fontId="22" fillId="6" borderId="11" xfId="0" applyNumberFormat="1" applyFont="1" applyFill="1" applyBorder="1" applyAlignment="1">
      <alignment horizontal="center" vertical="center" wrapText="1"/>
    </xf>
    <xf numFmtId="0" fontId="22" fillId="6" borderId="34" xfId="0" applyFont="1" applyFill="1" applyBorder="1" applyAlignment="1">
      <alignment horizontal="center" vertical="center" wrapText="1"/>
    </xf>
    <xf numFmtId="0" fontId="22" fillId="6" borderId="42" xfId="0" applyFont="1" applyFill="1" applyBorder="1" applyAlignment="1">
      <alignment horizontal="center" vertical="center" wrapText="1"/>
    </xf>
    <xf numFmtId="0" fontId="22" fillId="9" borderId="19" xfId="0" applyFont="1" applyFill="1" applyBorder="1" applyAlignment="1">
      <alignment horizontal="center" vertical="center" wrapText="1"/>
    </xf>
    <xf numFmtId="0" fontId="22" fillId="9" borderId="11" xfId="0" applyFont="1" applyFill="1" applyBorder="1" applyAlignment="1">
      <alignment horizontal="center" vertical="center" wrapText="1"/>
    </xf>
    <xf numFmtId="176" fontId="22" fillId="9" borderId="11" xfId="0" applyNumberFormat="1" applyFont="1" applyFill="1" applyBorder="1" applyAlignment="1">
      <alignment horizontal="center" vertical="center" wrapText="1"/>
    </xf>
    <xf numFmtId="0" fontId="22" fillId="9" borderId="34" xfId="0" applyFont="1" applyFill="1" applyBorder="1" applyAlignment="1">
      <alignment horizontal="center" vertical="center" wrapText="1"/>
    </xf>
    <xf numFmtId="0" fontId="22" fillId="9" borderId="35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left" vertical="center" wrapText="1"/>
    </xf>
    <xf numFmtId="0" fontId="24" fillId="5" borderId="11" xfId="0" applyFont="1" applyFill="1" applyBorder="1" applyAlignment="1">
      <alignment horizontal="center" vertical="center" wrapText="1"/>
    </xf>
    <xf numFmtId="176" fontId="24" fillId="5" borderId="11" xfId="0" applyNumberFormat="1" applyFont="1" applyFill="1" applyBorder="1" applyAlignment="1">
      <alignment horizontal="center" vertical="center" wrapText="1"/>
    </xf>
    <xf numFmtId="0" fontId="24" fillId="5" borderId="34" xfId="0" applyFont="1" applyFill="1" applyBorder="1" applyAlignment="1">
      <alignment horizontal="center" vertical="center" wrapText="1"/>
    </xf>
    <xf numFmtId="0" fontId="24" fillId="5" borderId="42" xfId="0" applyFont="1" applyFill="1" applyBorder="1" applyAlignment="1">
      <alignment horizontal="center" vertical="center" wrapText="1"/>
    </xf>
    <xf numFmtId="0" fontId="24" fillId="5" borderId="19" xfId="0" applyFont="1" applyFill="1" applyBorder="1" applyAlignment="1">
      <alignment horizontal="left" vertical="center" wrapText="1"/>
    </xf>
    <xf numFmtId="0" fontId="24" fillId="5" borderId="11" xfId="0" applyFont="1" applyFill="1" applyBorder="1" applyAlignment="1">
      <alignment horizontal="center" vertical="top" wrapText="1"/>
    </xf>
    <xf numFmtId="0" fontId="24" fillId="5" borderId="63" xfId="0" applyFont="1" applyFill="1" applyBorder="1" applyAlignment="1">
      <alignment horizontal="center" vertical="top" wrapText="1"/>
    </xf>
    <xf numFmtId="0" fontId="24" fillId="5" borderId="11" xfId="0" applyFont="1" applyFill="1" applyBorder="1" applyAlignment="1">
      <alignment horizontal="left" vertical="top" wrapText="1"/>
    </xf>
    <xf numFmtId="0" fontId="24" fillId="5" borderId="45" xfId="0" applyFont="1" applyFill="1" applyBorder="1" applyAlignment="1">
      <alignment horizontal="center" vertical="top" wrapText="1"/>
    </xf>
    <xf numFmtId="0" fontId="24" fillId="5" borderId="14" xfId="0" applyFont="1" applyFill="1" applyBorder="1" applyAlignment="1">
      <alignment horizontal="left" vertical="center" wrapText="1"/>
    </xf>
    <xf numFmtId="0" fontId="24" fillId="5" borderId="14" xfId="0" applyFont="1" applyFill="1" applyBorder="1" applyAlignment="1">
      <alignment horizontal="center" vertical="center" wrapText="1"/>
    </xf>
    <xf numFmtId="176" fontId="24" fillId="5" borderId="14" xfId="0" applyNumberFormat="1" applyFont="1" applyFill="1" applyBorder="1" applyAlignment="1">
      <alignment horizontal="center" vertical="center" wrapText="1"/>
    </xf>
    <xf numFmtId="176" fontId="18" fillId="5" borderId="36" xfId="0" applyNumberFormat="1" applyFont="1" applyFill="1" applyBorder="1" applyAlignment="1">
      <alignment horizontal="center" vertical="center" wrapText="1"/>
    </xf>
    <xf numFmtId="0" fontId="13" fillId="5" borderId="41" xfId="0" applyFont="1" applyFill="1" applyBorder="1" applyAlignment="1">
      <alignment horizontal="center" vertical="center" wrapText="1"/>
    </xf>
    <xf numFmtId="0" fontId="24" fillId="5" borderId="20" xfId="0" applyFont="1" applyFill="1" applyBorder="1" applyAlignment="1">
      <alignment horizontal="left" vertical="center" wrapText="1"/>
    </xf>
    <xf numFmtId="0" fontId="13" fillId="5" borderId="47" xfId="0" applyFont="1" applyFill="1" applyBorder="1" applyAlignment="1">
      <alignment horizontal="center" vertical="center" wrapText="1"/>
    </xf>
    <xf numFmtId="0" fontId="24" fillId="5" borderId="12" xfId="0" applyFont="1" applyFill="1" applyBorder="1" applyAlignment="1">
      <alignment horizontal="left" vertical="center" wrapText="1"/>
    </xf>
    <xf numFmtId="0" fontId="24" fillId="5" borderId="12" xfId="0" applyFont="1" applyFill="1" applyBorder="1" applyAlignment="1">
      <alignment horizontal="center" vertical="center" wrapText="1"/>
    </xf>
    <xf numFmtId="176" fontId="24" fillId="5" borderId="12" xfId="0" applyNumberFormat="1" applyFont="1" applyFill="1" applyBorder="1" applyAlignment="1">
      <alignment horizontal="center" vertical="center" wrapText="1"/>
    </xf>
    <xf numFmtId="0" fontId="24" fillId="5" borderId="38" xfId="0" applyFont="1" applyFill="1" applyBorder="1" applyAlignment="1">
      <alignment horizontal="center" vertical="center" wrapText="1"/>
    </xf>
    <xf numFmtId="0" fontId="24" fillId="5" borderId="12" xfId="0" applyFont="1" applyFill="1" applyBorder="1" applyAlignment="1">
      <alignment horizontal="left" vertical="top" wrapText="1"/>
    </xf>
    <xf numFmtId="0" fontId="24" fillId="5" borderId="50" xfId="0" applyFont="1" applyFill="1" applyBorder="1" applyAlignment="1">
      <alignment horizontal="center" vertical="top" wrapText="1"/>
    </xf>
    <xf numFmtId="0" fontId="13" fillId="5" borderId="39" xfId="0" applyFont="1" applyFill="1" applyBorder="1" applyAlignment="1">
      <alignment horizontal="center" vertical="center" wrapText="1"/>
    </xf>
    <xf numFmtId="0" fontId="24" fillId="5" borderId="40" xfId="0" applyFont="1" applyFill="1" applyBorder="1" applyAlignment="1">
      <alignment horizontal="center" vertical="center" wrapText="1"/>
    </xf>
    <xf numFmtId="0" fontId="24" fillId="5" borderId="21" xfId="0" applyFont="1" applyFill="1" applyBorder="1" applyAlignment="1">
      <alignment horizontal="left" vertical="center" wrapText="1"/>
    </xf>
    <xf numFmtId="0" fontId="24" fillId="5" borderId="35" xfId="0" applyFont="1" applyFill="1" applyBorder="1" applyAlignment="1">
      <alignment horizontal="center" vertical="center" wrapText="1"/>
    </xf>
    <xf numFmtId="0" fontId="24" fillId="5" borderId="48" xfId="0" applyFont="1" applyFill="1" applyBorder="1" applyAlignment="1">
      <alignment horizontal="center" vertical="top" wrapText="1"/>
    </xf>
    <xf numFmtId="176" fontId="18" fillId="10" borderId="36" xfId="0" applyNumberFormat="1" applyFont="1" applyFill="1" applyBorder="1" applyAlignment="1">
      <alignment horizontal="center" vertical="center" wrapText="1"/>
    </xf>
    <xf numFmtId="0" fontId="27" fillId="5" borderId="11" xfId="0" applyFont="1" applyFill="1" applyBorder="1" applyAlignment="1">
      <alignment horizontal="left" vertical="top" wrapText="1"/>
    </xf>
    <xf numFmtId="0" fontId="0" fillId="11" borderId="0" xfId="0" applyFill="1">
      <alignment vertical="center"/>
    </xf>
    <xf numFmtId="0" fontId="24" fillId="11" borderId="11" xfId="0" applyFont="1" applyFill="1" applyBorder="1" applyAlignment="1">
      <alignment horizontal="left" vertical="center" wrapText="1"/>
    </xf>
    <xf numFmtId="0" fontId="24" fillId="11" borderId="11" xfId="0" applyFont="1" applyFill="1" applyBorder="1" applyAlignment="1">
      <alignment horizontal="center" vertical="center" wrapText="1"/>
    </xf>
    <xf numFmtId="176" fontId="24" fillId="11" borderId="11" xfId="0" applyNumberFormat="1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 wrapText="1"/>
    </xf>
    <xf numFmtId="0" fontId="24" fillId="11" borderId="43" xfId="0" applyFont="1" applyFill="1" applyBorder="1" applyAlignment="1">
      <alignment horizontal="center" vertical="center" wrapText="1"/>
    </xf>
    <xf numFmtId="0" fontId="24" fillId="11" borderId="21" xfId="0" applyFont="1" applyFill="1" applyBorder="1" applyAlignment="1">
      <alignment horizontal="left" vertical="center" wrapText="1"/>
    </xf>
    <xf numFmtId="0" fontId="24" fillId="11" borderId="12" xfId="0" applyFont="1" applyFill="1" applyBorder="1" applyAlignment="1">
      <alignment horizontal="center" vertical="center" wrapText="1"/>
    </xf>
    <xf numFmtId="176" fontId="24" fillId="11" borderId="12" xfId="0" applyNumberFormat="1" applyFont="1" applyFill="1" applyBorder="1" applyAlignment="1">
      <alignment horizontal="center" vertical="center" wrapText="1"/>
    </xf>
    <xf numFmtId="0" fontId="24" fillId="11" borderId="12" xfId="0" applyFont="1" applyFill="1" applyBorder="1" applyAlignment="1">
      <alignment horizontal="center" vertical="top" wrapText="1"/>
    </xf>
    <xf numFmtId="0" fontId="24" fillId="11" borderId="38" xfId="0" applyFont="1" applyFill="1" applyBorder="1" applyAlignment="1">
      <alignment horizontal="center" vertical="center" wrapText="1"/>
    </xf>
    <xf numFmtId="0" fontId="24" fillId="11" borderId="46" xfId="0" applyFont="1" applyFill="1" applyBorder="1" applyAlignment="1">
      <alignment horizontal="center" vertical="top" wrapText="1"/>
    </xf>
    <xf numFmtId="0" fontId="24" fillId="11" borderId="42" xfId="0" applyFont="1" applyFill="1" applyBorder="1" applyAlignment="1">
      <alignment horizontal="center" vertical="center" wrapText="1"/>
    </xf>
    <xf numFmtId="0" fontId="24" fillId="11" borderId="19" xfId="0" applyFont="1" applyFill="1" applyBorder="1" applyAlignment="1">
      <alignment horizontal="left" vertical="center" wrapText="1"/>
    </xf>
    <xf numFmtId="0" fontId="24" fillId="11" borderId="11" xfId="0" applyFont="1" applyFill="1" applyBorder="1" applyAlignment="1">
      <alignment horizontal="left" vertical="top" wrapText="1"/>
    </xf>
    <xf numFmtId="0" fontId="24" fillId="11" borderId="48" xfId="0" applyFont="1" applyFill="1" applyBorder="1" applyAlignment="1">
      <alignment horizontal="center" vertical="top" wrapText="1"/>
    </xf>
    <xf numFmtId="0" fontId="24" fillId="11" borderId="14" xfId="0" applyFont="1" applyFill="1" applyBorder="1" applyAlignment="1">
      <alignment horizontal="left" vertical="center" wrapText="1"/>
    </xf>
    <xf numFmtId="0" fontId="24" fillId="11" borderId="14" xfId="0" applyFont="1" applyFill="1" applyBorder="1" applyAlignment="1">
      <alignment horizontal="center" vertical="center" wrapText="1"/>
    </xf>
    <xf numFmtId="176" fontId="24" fillId="11" borderId="14" xfId="0" applyNumberFormat="1" applyFont="1" applyFill="1" applyBorder="1" applyAlignment="1">
      <alignment horizontal="center" vertical="center" wrapText="1"/>
    </xf>
    <xf numFmtId="0" fontId="18" fillId="11" borderId="14" xfId="0" applyFont="1" applyFill="1" applyBorder="1" applyAlignment="1">
      <alignment horizontal="center" vertical="center" wrapText="1"/>
    </xf>
    <xf numFmtId="176" fontId="18" fillId="11" borderId="36" xfId="0" applyNumberFormat="1" applyFont="1" applyFill="1" applyBorder="1" applyAlignment="1">
      <alignment horizontal="center" vertical="center" wrapText="1"/>
    </xf>
    <xf numFmtId="0" fontId="13" fillId="11" borderId="41" xfId="0" applyFont="1" applyFill="1" applyBorder="1" applyAlignment="1">
      <alignment horizontal="center" vertical="center" wrapText="1"/>
    </xf>
    <xf numFmtId="0" fontId="24" fillId="11" borderId="20" xfId="0" applyFont="1" applyFill="1" applyBorder="1" applyAlignment="1">
      <alignment horizontal="left" vertical="center" wrapText="1"/>
    </xf>
    <xf numFmtId="0" fontId="13" fillId="11" borderId="47" xfId="0" applyFont="1" applyFill="1" applyBorder="1" applyAlignment="1">
      <alignment horizontal="center" vertical="center" wrapText="1"/>
    </xf>
    <xf numFmtId="0" fontId="24" fillId="11" borderId="12" xfId="0" applyFont="1" applyFill="1" applyBorder="1" applyAlignment="1">
      <alignment horizontal="left" vertical="center" wrapText="1"/>
    </xf>
    <xf numFmtId="0" fontId="24" fillId="11" borderId="35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left" vertical="top" wrapText="1"/>
    </xf>
    <xf numFmtId="0" fontId="24" fillId="11" borderId="54" xfId="0" applyFont="1" applyFill="1" applyBorder="1" applyAlignment="1">
      <alignment horizontal="center" vertical="top" wrapText="1"/>
    </xf>
    <xf numFmtId="0" fontId="24" fillId="11" borderId="51" xfId="0" applyFont="1" applyFill="1" applyBorder="1" applyAlignment="1">
      <alignment horizontal="left" vertical="center" wrapText="1"/>
    </xf>
    <xf numFmtId="0" fontId="24" fillId="11" borderId="51" xfId="0" applyFont="1" applyFill="1" applyBorder="1" applyAlignment="1">
      <alignment horizontal="center" vertical="center" wrapText="1"/>
    </xf>
    <xf numFmtId="176" fontId="24" fillId="11" borderId="51" xfId="0" applyNumberFormat="1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 wrapText="1"/>
    </xf>
    <xf numFmtId="0" fontId="24" fillId="11" borderId="52" xfId="0" applyFont="1" applyFill="1" applyBorder="1" applyAlignment="1">
      <alignment horizontal="center" vertical="center" wrapText="1"/>
    </xf>
    <xf numFmtId="0" fontId="24" fillId="11" borderId="55" xfId="0" applyFont="1" applyFill="1" applyBorder="1" applyAlignment="1">
      <alignment horizontal="center" vertical="top" wrapText="1"/>
    </xf>
    <xf numFmtId="0" fontId="24" fillId="11" borderId="56" xfId="0" applyFont="1" applyFill="1" applyBorder="1" applyAlignment="1">
      <alignment horizontal="center" vertical="top" wrapText="1"/>
    </xf>
    <xf numFmtId="0" fontId="24" fillId="11" borderId="32" xfId="0" applyFont="1" applyFill="1" applyBorder="1" applyAlignment="1">
      <alignment horizontal="left" vertical="center" wrapText="1"/>
    </xf>
    <xf numFmtId="0" fontId="27" fillId="11" borderId="33" xfId="0" applyFont="1" applyFill="1" applyBorder="1" applyAlignment="1">
      <alignment horizontal="left" vertical="top" wrapText="1"/>
    </xf>
    <xf numFmtId="0" fontId="19" fillId="11" borderId="14" xfId="0" applyFont="1" applyFill="1" applyBorder="1" applyAlignment="1">
      <alignment horizontal="center" vertical="center" wrapText="1"/>
    </xf>
    <xf numFmtId="0" fontId="24" fillId="11" borderId="17" xfId="0" applyFont="1" applyFill="1" applyBorder="1" applyAlignment="1">
      <alignment horizontal="left" vertical="center" wrapText="1"/>
    </xf>
    <xf numFmtId="0" fontId="24" fillId="11" borderId="17" xfId="0" applyFont="1" applyFill="1" applyBorder="1" applyAlignment="1">
      <alignment horizontal="center" vertical="center" wrapText="1"/>
    </xf>
    <xf numFmtId="176" fontId="24" fillId="11" borderId="17" xfId="0" applyNumberFormat="1" applyFont="1" applyFill="1" applyBorder="1" applyAlignment="1">
      <alignment horizontal="center" vertical="center" wrapText="1"/>
    </xf>
    <xf numFmtId="0" fontId="24" fillId="11" borderId="57" xfId="0" applyFont="1" applyFill="1" applyBorder="1" applyAlignment="1">
      <alignment horizontal="center" vertical="center" wrapText="1"/>
    </xf>
    <xf numFmtId="0" fontId="24" fillId="11" borderId="37" xfId="0" applyFont="1" applyFill="1" applyBorder="1" applyAlignment="1">
      <alignment horizontal="center" vertical="center" wrapText="1"/>
    </xf>
    <xf numFmtId="0" fontId="24" fillId="11" borderId="22" xfId="0" applyFont="1" applyFill="1" applyBorder="1" applyAlignment="1">
      <alignment horizontal="left" vertical="center" wrapText="1"/>
    </xf>
    <xf numFmtId="0" fontId="24" fillId="11" borderId="17" xfId="0" applyFont="1" applyFill="1" applyBorder="1" applyAlignment="1">
      <alignment horizontal="center" vertical="top" wrapText="1"/>
    </xf>
    <xf numFmtId="0" fontId="24" fillId="11" borderId="50" xfId="0" applyFont="1" applyFill="1" applyBorder="1" applyAlignment="1">
      <alignment horizontal="center" vertical="top" wrapText="1"/>
    </xf>
    <xf numFmtId="0" fontId="24" fillId="11" borderId="49" xfId="0" applyFont="1" applyFill="1" applyBorder="1" applyAlignment="1">
      <alignment horizontal="center" vertical="top" wrapText="1"/>
    </xf>
    <xf numFmtId="0" fontId="24" fillId="11" borderId="45" xfId="0" applyFont="1" applyFill="1" applyBorder="1" applyAlignment="1">
      <alignment horizontal="center" vertical="top" wrapText="1"/>
    </xf>
    <xf numFmtId="0" fontId="24" fillId="11" borderId="65" xfId="0" applyFont="1" applyFill="1" applyBorder="1" applyAlignment="1">
      <alignment horizontal="left" vertical="center" wrapText="1"/>
    </xf>
    <xf numFmtId="0" fontId="24" fillId="11" borderId="65" xfId="0" applyFont="1" applyFill="1" applyBorder="1" applyAlignment="1">
      <alignment horizontal="center" vertical="center" wrapText="1"/>
    </xf>
    <xf numFmtId="176" fontId="24" fillId="11" borderId="65" xfId="0" applyNumberFormat="1" applyFont="1" applyFill="1" applyBorder="1" applyAlignment="1">
      <alignment horizontal="center" vertical="center" wrapText="1"/>
    </xf>
    <xf numFmtId="0" fontId="18" fillId="11" borderId="65" xfId="0" applyFont="1" applyFill="1" applyBorder="1" applyAlignment="1">
      <alignment horizontal="center" vertical="center" wrapText="1"/>
    </xf>
    <xf numFmtId="0" fontId="13" fillId="11" borderId="44" xfId="0" applyFont="1" applyFill="1" applyBorder="1" applyAlignment="1">
      <alignment horizontal="center" vertical="center" wrapText="1"/>
    </xf>
    <xf numFmtId="0" fontId="24" fillId="11" borderId="66" xfId="0" applyFont="1" applyFill="1" applyBorder="1" applyAlignment="1">
      <alignment horizontal="left" vertical="center" wrapText="1"/>
    </xf>
    <xf numFmtId="0" fontId="13" fillId="11" borderId="67" xfId="0" applyFont="1" applyFill="1" applyBorder="1" applyAlignment="1">
      <alignment horizontal="center" vertical="center" wrapText="1"/>
    </xf>
    <xf numFmtId="0" fontId="33" fillId="6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11" borderId="11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left" vertical="top" wrapText="1"/>
    </xf>
    <xf numFmtId="0" fontId="5" fillId="10" borderId="11" xfId="0" applyFont="1" applyFill="1" applyBorder="1" applyAlignment="1">
      <alignment horizontal="center" vertical="center" wrapText="1"/>
    </xf>
    <xf numFmtId="0" fontId="30" fillId="10" borderId="11" xfId="0" applyFont="1" applyFill="1" applyBorder="1" applyAlignment="1">
      <alignment horizontal="center" vertical="center" wrapText="1"/>
    </xf>
    <xf numFmtId="0" fontId="27" fillId="11" borderId="11" xfId="0" applyFont="1" applyFill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top" wrapText="1"/>
    </xf>
    <xf numFmtId="0" fontId="14" fillId="5" borderId="11" xfId="0" applyFont="1" applyFill="1" applyBorder="1" applyAlignment="1">
      <alignment horizontal="left" vertical="center" wrapText="1"/>
    </xf>
    <xf numFmtId="0" fontId="24" fillId="5" borderId="0" xfId="0" applyFont="1" applyFill="1" applyAlignment="1">
      <alignment horizontal="left" vertical="center" wrapText="1"/>
    </xf>
    <xf numFmtId="0" fontId="24" fillId="5" borderId="0" xfId="0" applyFont="1" applyFill="1" applyAlignment="1">
      <alignment horizontal="center" vertical="center" wrapText="1"/>
    </xf>
    <xf numFmtId="176" fontId="24" fillId="5" borderId="0" xfId="0" applyNumberFormat="1" applyFont="1" applyFill="1" applyAlignment="1">
      <alignment horizontal="center" vertical="center" wrapText="1"/>
    </xf>
    <xf numFmtId="0" fontId="35" fillId="0" borderId="0" xfId="0" applyFont="1" applyAlignment="1">
      <alignment horizontal="center"/>
    </xf>
    <xf numFmtId="0" fontId="4" fillId="4" borderId="0" xfId="0" applyFont="1" applyFill="1" applyAlignment="1">
      <alignment horizontal="left" vertical="center"/>
    </xf>
    <xf numFmtId="0" fontId="0" fillId="0" borderId="0" xfId="0" applyAlignment="1"/>
    <xf numFmtId="0" fontId="34" fillId="10" borderId="34" xfId="0" applyFont="1" applyFill="1" applyBorder="1" applyAlignment="1">
      <alignment horizontal="left" vertical="top" wrapText="1"/>
    </xf>
    <xf numFmtId="0" fontId="5" fillId="10" borderId="27" xfId="0" applyFont="1" applyFill="1" applyBorder="1" applyAlignment="1">
      <alignment horizontal="left" vertical="top" wrapText="1"/>
    </xf>
    <xf numFmtId="0" fontId="5" fillId="10" borderId="19" xfId="0" applyFont="1" applyFill="1" applyBorder="1" applyAlignment="1">
      <alignment horizontal="left" vertical="top" wrapText="1"/>
    </xf>
    <xf numFmtId="0" fontId="34" fillId="11" borderId="34" xfId="0" applyFont="1" applyFill="1" applyBorder="1" applyAlignment="1">
      <alignment horizontal="left" vertical="top" wrapText="1"/>
    </xf>
    <xf numFmtId="0" fontId="5" fillId="11" borderId="27" xfId="0" applyFont="1" applyFill="1" applyBorder="1" applyAlignment="1">
      <alignment horizontal="left" vertical="top" wrapText="1"/>
    </xf>
    <xf numFmtId="0" fontId="5" fillId="11" borderId="19" xfId="0" applyFont="1" applyFill="1" applyBorder="1" applyAlignment="1">
      <alignment horizontal="left" vertical="top" wrapText="1"/>
    </xf>
    <xf numFmtId="0" fontId="34" fillId="0" borderId="34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10" borderId="34" xfId="0" applyFont="1" applyFill="1" applyBorder="1" applyAlignment="1">
      <alignment horizontal="left" vertical="top" wrapText="1"/>
    </xf>
    <xf numFmtId="0" fontId="33" fillId="6" borderId="38" xfId="0" applyFont="1" applyFill="1" applyBorder="1" applyAlignment="1">
      <alignment horizontal="center" vertical="center" wrapText="1"/>
    </xf>
    <xf numFmtId="0" fontId="33" fillId="6" borderId="71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top" wrapText="1"/>
    </xf>
    <xf numFmtId="0" fontId="0" fillId="0" borderId="19" xfId="0" applyBorder="1" applyAlignment="1"/>
    <xf numFmtId="0" fontId="6" fillId="6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top" wrapText="1"/>
    </xf>
    <xf numFmtId="0" fontId="14" fillId="5" borderId="11" xfId="0" applyFont="1" applyFill="1" applyBorder="1" applyAlignment="1">
      <alignment horizontal="center" vertical="top" wrapText="1"/>
    </xf>
    <xf numFmtId="0" fontId="8" fillId="4" borderId="0" xfId="0" applyFont="1" applyFill="1" applyAlignment="1">
      <alignment horizontal="left" vertical="center" wrapText="1"/>
    </xf>
    <xf numFmtId="0" fontId="5" fillId="5" borderId="11" xfId="0" applyFont="1" applyFill="1" applyBorder="1" applyAlignment="1">
      <alignment horizontal="center" vertical="center" wrapText="1"/>
    </xf>
    <xf numFmtId="42" fontId="22" fillId="11" borderId="17" xfId="1" applyFont="1" applyFill="1" applyBorder="1" applyAlignment="1">
      <alignment horizontal="center" vertical="center" wrapText="1"/>
    </xf>
    <xf numFmtId="0" fontId="21" fillId="11" borderId="28" xfId="0" applyFont="1" applyFill="1" applyBorder="1" applyAlignment="1"/>
    <xf numFmtId="0" fontId="21" fillId="11" borderId="12" xfId="0" applyFont="1" applyFill="1" applyBorder="1" applyAlignment="1"/>
    <xf numFmtId="0" fontId="20" fillId="8" borderId="69" xfId="0" applyFont="1" applyFill="1" applyBorder="1" applyAlignment="1">
      <alignment horizontal="center" vertical="center" wrapText="1"/>
    </xf>
    <xf numFmtId="0" fontId="21" fillId="0" borderId="59" xfId="0" applyFont="1" applyBorder="1" applyAlignment="1"/>
    <xf numFmtId="0" fontId="21" fillId="0" borderId="60" xfId="0" applyFont="1" applyBorder="1" applyAlignment="1"/>
    <xf numFmtId="0" fontId="23" fillId="2" borderId="62" xfId="0" applyFont="1" applyFill="1" applyBorder="1" applyAlignment="1">
      <alignment horizontal="center" vertical="center" wrapText="1"/>
    </xf>
    <xf numFmtId="0" fontId="21" fillId="0" borderId="64" xfId="0" applyFont="1" applyBorder="1" applyAlignment="1"/>
    <xf numFmtId="0" fontId="21" fillId="0" borderId="70" xfId="0" applyFont="1" applyBorder="1" applyAlignment="1"/>
    <xf numFmtId="0" fontId="22" fillId="11" borderId="16" xfId="0" applyFont="1" applyFill="1" applyBorder="1" applyAlignment="1">
      <alignment horizontal="center" vertical="center" wrapText="1"/>
    </xf>
    <xf numFmtId="0" fontId="21" fillId="11" borderId="29" xfId="0" applyFont="1" applyFill="1" applyBorder="1" applyAlignment="1"/>
    <xf numFmtId="0" fontId="21" fillId="11" borderId="15" xfId="0" applyFont="1" applyFill="1" applyBorder="1" applyAlignment="1"/>
    <xf numFmtId="42" fontId="22" fillId="5" borderId="11" xfId="1" applyFont="1" applyFill="1" applyBorder="1" applyAlignment="1">
      <alignment horizontal="center" vertical="center" wrapText="1"/>
    </xf>
    <xf numFmtId="0" fontId="21" fillId="0" borderId="28" xfId="0" applyFont="1" applyBorder="1" applyAlignment="1"/>
    <xf numFmtId="0" fontId="21" fillId="0" borderId="12" xfId="0" applyFont="1" applyBorder="1" applyAlignment="1"/>
    <xf numFmtId="0" fontId="22" fillId="11" borderId="15" xfId="0" applyFont="1" applyFill="1" applyBorder="1" applyAlignment="1">
      <alignment horizontal="center" vertical="center" wrapText="1"/>
    </xf>
    <xf numFmtId="42" fontId="22" fillId="5" borderId="12" xfId="1" applyFont="1" applyFill="1" applyBorder="1" applyAlignment="1">
      <alignment horizontal="center" vertical="center" wrapText="1"/>
    </xf>
    <xf numFmtId="0" fontId="20" fillId="4" borderId="68" xfId="0" applyFont="1" applyFill="1" applyBorder="1" applyAlignment="1">
      <alignment horizontal="center" vertical="center" wrapText="1"/>
    </xf>
    <xf numFmtId="0" fontId="20" fillId="4" borderId="58" xfId="0" applyFont="1" applyFill="1" applyBorder="1" applyAlignment="1">
      <alignment horizontal="center" vertical="center" wrapText="1"/>
    </xf>
    <xf numFmtId="0" fontId="21" fillId="0" borderId="61" xfId="0" applyFont="1" applyBorder="1" applyAlignment="1"/>
    <xf numFmtId="0" fontId="28" fillId="5" borderId="13" xfId="0" applyFont="1" applyFill="1" applyBorder="1" applyAlignment="1">
      <alignment horizontal="center" vertical="center" wrapText="1"/>
    </xf>
    <xf numFmtId="0" fontId="21" fillId="0" borderId="29" xfId="0" applyFont="1" applyBorder="1" applyAlignment="1"/>
    <xf numFmtId="0" fontId="21" fillId="0" borderId="15" xfId="0" applyFont="1" applyBorder="1" applyAlignment="1"/>
    <xf numFmtId="0" fontId="22" fillId="5" borderId="15" xfId="0" applyFont="1" applyFill="1" applyBorder="1" applyAlignment="1">
      <alignment horizontal="center" vertical="center" wrapText="1"/>
    </xf>
    <xf numFmtId="42" fontId="22" fillId="5" borderId="28" xfId="1" applyFont="1" applyFill="1" applyBorder="1" applyAlignment="1">
      <alignment horizontal="center" vertical="center" wrapText="1"/>
    </xf>
    <xf numFmtId="42" fontId="22" fillId="11" borderId="12" xfId="1" applyFont="1" applyFill="1" applyBorder="1" applyAlignment="1">
      <alignment horizontal="center" vertical="center" wrapText="1"/>
    </xf>
    <xf numFmtId="0" fontId="22" fillId="5" borderId="2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6" fillId="7" borderId="16" xfId="0" applyFont="1" applyFill="1" applyBorder="1" applyAlignment="1">
      <alignment horizontal="center" vertical="center" wrapText="1"/>
    </xf>
    <xf numFmtId="0" fontId="0" fillId="0" borderId="29" xfId="0" applyBorder="1" applyAlignment="1"/>
    <xf numFmtId="0" fontId="0" fillId="0" borderId="15" xfId="0" applyBorder="1" applyAlignment="1"/>
    <xf numFmtId="0" fontId="2" fillId="2" borderId="30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0" fontId="6" fillId="5" borderId="13" xfId="0" applyFont="1" applyFill="1" applyBorder="1" applyAlignment="1">
      <alignment horizontal="center" vertical="center" wrapText="1"/>
    </xf>
    <xf numFmtId="42" fontId="6" fillId="7" borderId="17" xfId="1" applyFont="1" applyFill="1" applyBorder="1" applyAlignment="1">
      <alignment horizontal="center" vertical="center" wrapText="1"/>
    </xf>
    <xf numFmtId="0" fontId="0" fillId="0" borderId="28" xfId="0" applyBorder="1" applyAlignment="1"/>
    <xf numFmtId="42" fontId="6" fillId="7" borderId="12" xfId="1" applyFont="1" applyFill="1" applyBorder="1" applyAlignment="1">
      <alignment horizontal="center" vertical="center" wrapText="1"/>
    </xf>
    <xf numFmtId="42" fontId="6" fillId="5" borderId="12" xfId="1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left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0" fillId="0" borderId="27" xfId="0" applyBorder="1" applyAlignment="1"/>
    <xf numFmtId="42" fontId="6" fillId="5" borderId="11" xfId="1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</cellXfs>
  <cellStyles count="2">
    <cellStyle name="통화 [0]" xfId="1" xr:uid="{00000000-0005-0000-0000-000001000000}"/>
    <cellStyle name="표준" xfId="0" builtinId="0"/>
  </cellStyles>
  <dxfs count="0"/>
  <tableStyles count="0" defaultTableStyle="TableStyleMedium2" defaultPivotStyle="PivotStyleLight16"/>
  <colors>
    <mruColors>
      <color rgb="FFF7F9FC"/>
      <color rgb="FFF5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6429375</xdr:colOff>
      <xdr:row>64</xdr:row>
      <xdr:rowOff>148544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29375" cy="123405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workbookViewId="0">
      <selection activeCell="F18" sqref="F18"/>
    </sheetView>
  </sheetViews>
  <sheetFormatPr defaultRowHeight="15" x14ac:dyDescent="0.25"/>
  <cols>
    <col min="1" max="1" width="26" style="10" customWidth="1"/>
    <col min="2" max="2" width="78" style="10" customWidth="1"/>
    <col min="6" max="6" width="7.85546875" style="10" customWidth="1"/>
    <col min="7" max="7" width="11.85546875" style="10" customWidth="1"/>
    <col min="8" max="8" width="7.42578125" style="10" customWidth="1"/>
    <col min="9" max="9" width="59.5703125" style="10" customWidth="1"/>
    <col min="10" max="10" width="16.42578125" style="10" customWidth="1"/>
  </cols>
  <sheetData>
    <row r="1" spans="1:10" ht="21.95" customHeight="1" x14ac:dyDescent="0.25">
      <c r="A1" s="11" t="s">
        <v>0</v>
      </c>
      <c r="B1" s="11" t="s">
        <v>1</v>
      </c>
      <c r="C1" s="4"/>
      <c r="D1" s="4"/>
      <c r="E1" s="4"/>
      <c r="F1" s="2" t="s">
        <v>2</v>
      </c>
      <c r="G1" s="5" t="s">
        <v>3</v>
      </c>
      <c r="H1" s="5" t="s">
        <v>4</v>
      </c>
      <c r="I1" s="5" t="s">
        <v>5</v>
      </c>
      <c r="J1" s="3" t="s">
        <v>6</v>
      </c>
    </row>
    <row r="2" spans="1:10" ht="18" customHeight="1" x14ac:dyDescent="0.25">
      <c r="A2" s="12" t="s">
        <v>7</v>
      </c>
      <c r="B2" s="51" t="s">
        <v>8</v>
      </c>
      <c r="C2" s="4"/>
      <c r="D2" s="4"/>
      <c r="E2" s="4"/>
      <c r="F2" s="6">
        <v>0.1</v>
      </c>
      <c r="G2" s="7"/>
      <c r="H2" s="8" t="s">
        <v>9</v>
      </c>
      <c r="I2" s="8" t="s">
        <v>10</v>
      </c>
      <c r="J2" s="9" t="s">
        <v>11</v>
      </c>
    </row>
    <row r="3" spans="1:10" ht="18" customHeight="1" x14ac:dyDescent="0.25">
      <c r="A3" s="12" t="s">
        <v>2</v>
      </c>
      <c r="B3" s="13">
        <v>0.4</v>
      </c>
      <c r="C3" s="4"/>
      <c r="D3" s="4"/>
      <c r="E3" s="4"/>
      <c r="F3" s="6">
        <v>0.2</v>
      </c>
      <c r="G3" s="7">
        <v>45979</v>
      </c>
      <c r="H3" s="8" t="s">
        <v>12</v>
      </c>
      <c r="I3" s="8" t="s">
        <v>13</v>
      </c>
      <c r="J3" s="9" t="s">
        <v>14</v>
      </c>
    </row>
    <row r="4" spans="1:10" ht="18" customHeight="1" x14ac:dyDescent="0.3">
      <c r="A4" s="12" t="s">
        <v>3</v>
      </c>
      <c r="B4" s="14">
        <v>45979</v>
      </c>
      <c r="C4" s="4"/>
      <c r="D4" s="4"/>
      <c r="E4" s="4"/>
      <c r="F4" s="6">
        <v>0.3</v>
      </c>
      <c r="G4" s="7">
        <v>45693</v>
      </c>
      <c r="H4" s="74" t="s">
        <v>12</v>
      </c>
      <c r="I4" s="78" t="s">
        <v>15</v>
      </c>
      <c r="J4" s="9"/>
    </row>
    <row r="5" spans="1:10" ht="18" customHeight="1" x14ac:dyDescent="0.3">
      <c r="A5" s="12" t="s">
        <v>4</v>
      </c>
      <c r="B5" s="13" t="s">
        <v>16</v>
      </c>
      <c r="C5" s="4"/>
      <c r="D5" s="4"/>
      <c r="E5" s="4"/>
      <c r="F5" s="6">
        <v>0.4</v>
      </c>
      <c r="G5" s="7">
        <v>45763</v>
      </c>
      <c r="H5" s="195" t="s">
        <v>375</v>
      </c>
      <c r="I5" s="195" t="s">
        <v>377</v>
      </c>
      <c r="J5" s="9"/>
    </row>
    <row r="6" spans="1:10" ht="18" customHeight="1" x14ac:dyDescent="0.3">
      <c r="A6" s="12" t="s">
        <v>17</v>
      </c>
      <c r="B6" s="51" t="s">
        <v>18</v>
      </c>
      <c r="C6" s="4"/>
      <c r="D6" s="4"/>
      <c r="E6" s="4"/>
      <c r="F6" s="6"/>
      <c r="G6" s="8"/>
      <c r="H6" s="8"/>
      <c r="I6" s="195" t="s">
        <v>376</v>
      </c>
      <c r="J6" s="9"/>
    </row>
    <row r="7" spans="1:10" ht="18" customHeight="1" x14ac:dyDescent="0.25">
      <c r="A7" s="12" t="s">
        <v>19</v>
      </c>
      <c r="B7" s="13" t="s">
        <v>20</v>
      </c>
      <c r="C7" s="4"/>
      <c r="D7" s="4"/>
      <c r="E7" s="4"/>
      <c r="F7" s="6"/>
      <c r="G7" s="8"/>
      <c r="H7" s="8"/>
      <c r="I7" s="8" t="s">
        <v>378</v>
      </c>
      <c r="J7" s="9"/>
    </row>
    <row r="8" spans="1:10" ht="18" customHeight="1" x14ac:dyDescent="0.3">
      <c r="A8" s="12" t="s">
        <v>21</v>
      </c>
      <c r="B8" s="51" t="s">
        <v>22</v>
      </c>
      <c r="C8" s="4"/>
      <c r="D8" s="4"/>
      <c r="E8" s="4"/>
      <c r="F8" s="6"/>
      <c r="G8" s="8"/>
      <c r="H8" s="8"/>
      <c r="I8" s="8" t="s">
        <v>379</v>
      </c>
      <c r="J8" s="9"/>
    </row>
    <row r="9" spans="1:10" ht="18" customHeight="1" x14ac:dyDescent="0.25">
      <c r="A9" s="12" t="s">
        <v>23</v>
      </c>
      <c r="B9" s="13" t="s">
        <v>24</v>
      </c>
      <c r="C9" s="4"/>
      <c r="D9" s="4"/>
      <c r="E9" s="4"/>
      <c r="F9" s="6"/>
      <c r="G9" s="8"/>
      <c r="H9" s="8"/>
      <c r="I9" s="8"/>
      <c r="J9" s="9"/>
    </row>
    <row r="10" spans="1:10" ht="18" customHeight="1" x14ac:dyDescent="0.25">
      <c r="A10" s="12" t="s">
        <v>25</v>
      </c>
      <c r="B10" s="13" t="s">
        <v>26</v>
      </c>
      <c r="C10" s="4"/>
      <c r="D10" s="4"/>
      <c r="E10" s="4"/>
      <c r="F10" s="6"/>
      <c r="G10" s="8"/>
      <c r="H10" s="8"/>
      <c r="I10" s="8"/>
      <c r="J10" s="9"/>
    </row>
    <row r="11" spans="1:10" ht="18" customHeight="1" x14ac:dyDescent="0.25">
      <c r="A11" s="12" t="s">
        <v>27</v>
      </c>
      <c r="B11" s="13" t="s">
        <v>341</v>
      </c>
      <c r="C11" s="4"/>
      <c r="D11" s="4"/>
      <c r="E11" s="4"/>
      <c r="F11" s="6"/>
      <c r="G11" s="8"/>
      <c r="H11" s="8"/>
      <c r="I11" s="8"/>
      <c r="J11" s="9"/>
    </row>
    <row r="12" spans="1:10" ht="18" customHeight="1" x14ac:dyDescent="0.25">
      <c r="A12" s="12" t="s">
        <v>28</v>
      </c>
      <c r="B12" s="13" t="s">
        <v>362</v>
      </c>
      <c r="C12" s="4"/>
      <c r="D12" s="4"/>
      <c r="E12" s="4"/>
      <c r="F12" s="6"/>
      <c r="G12" s="8"/>
      <c r="H12" s="8"/>
      <c r="I12" s="8"/>
      <c r="J12" s="9"/>
    </row>
    <row r="13" spans="1:10" ht="18" customHeight="1" x14ac:dyDescent="0.25">
      <c r="A13" s="12" t="s">
        <v>29</v>
      </c>
      <c r="B13" s="13" t="s">
        <v>30</v>
      </c>
      <c r="C13" s="4"/>
      <c r="D13" s="4"/>
      <c r="E13" s="4"/>
      <c r="F13" s="6"/>
      <c r="G13" s="8"/>
      <c r="H13" s="8"/>
      <c r="I13" s="8"/>
      <c r="J13" s="9"/>
    </row>
    <row r="14" spans="1:10" x14ac:dyDescent="0.25">
      <c r="A14" s="4"/>
      <c r="B14" s="4"/>
      <c r="C14" s="4"/>
      <c r="D14" s="4"/>
      <c r="E14" s="4"/>
      <c r="F14" s="6"/>
      <c r="G14" s="8"/>
      <c r="H14" s="8"/>
      <c r="I14" s="8"/>
      <c r="J14" s="9"/>
    </row>
    <row r="15" spans="1:10" x14ac:dyDescent="0.25">
      <c r="A15" s="4"/>
      <c r="B15" s="4"/>
      <c r="C15" s="4"/>
      <c r="D15" s="4"/>
      <c r="E15" s="4"/>
      <c r="F15" s="6"/>
      <c r="G15" s="8"/>
      <c r="H15" s="8"/>
      <c r="I15" s="8"/>
      <c r="J15" s="9"/>
    </row>
    <row r="16" spans="1:10" x14ac:dyDescent="0.25">
      <c r="A16" s="4"/>
      <c r="B16" s="4"/>
      <c r="C16" s="4"/>
      <c r="D16" s="4"/>
      <c r="E16" s="4"/>
      <c r="F16" s="6"/>
      <c r="G16" s="8"/>
      <c r="H16" s="8"/>
      <c r="I16" s="8"/>
      <c r="J16" s="9"/>
    </row>
    <row r="17" spans="1:10" x14ac:dyDescent="0.25">
      <c r="A17" s="4"/>
      <c r="B17" s="4"/>
      <c r="C17" s="4"/>
      <c r="D17" s="4"/>
      <c r="E17" s="4"/>
      <c r="F17" s="6"/>
      <c r="G17" s="8"/>
      <c r="H17" s="8"/>
      <c r="I17" s="8"/>
      <c r="J17" s="9"/>
    </row>
    <row r="18" spans="1:10" x14ac:dyDescent="0.25">
      <c r="A18" s="4"/>
      <c r="B18" s="4"/>
      <c r="C18" s="4"/>
      <c r="D18" s="4"/>
      <c r="E18" s="4"/>
      <c r="F18" s="6"/>
      <c r="G18" s="8"/>
      <c r="H18" s="8"/>
      <c r="I18" s="8"/>
      <c r="J18" s="9"/>
    </row>
    <row r="19" spans="1:10" x14ac:dyDescent="0.25">
      <c r="A19" s="4"/>
      <c r="B19" s="4"/>
      <c r="C19" s="4"/>
      <c r="D19" s="4"/>
      <c r="E19" s="4"/>
      <c r="F19" s="6"/>
      <c r="G19" s="8"/>
      <c r="H19" s="8"/>
      <c r="I19" s="8"/>
      <c r="J19" s="9"/>
    </row>
    <row r="20" spans="1:10" x14ac:dyDescent="0.25">
      <c r="A20" s="4"/>
      <c r="B20" s="4"/>
      <c r="C20" s="4"/>
      <c r="D20" s="4"/>
      <c r="E20" s="4"/>
      <c r="F20" s="6"/>
      <c r="G20" s="8"/>
      <c r="H20" s="8"/>
      <c r="I20" s="8"/>
      <c r="J20" s="9"/>
    </row>
    <row r="21" spans="1:10" x14ac:dyDescent="0.25">
      <c r="A21" s="4"/>
      <c r="B21" s="4"/>
      <c r="C21" s="4"/>
      <c r="D21" s="4"/>
      <c r="E21" s="4"/>
      <c r="F21" s="6"/>
      <c r="G21" s="8"/>
      <c r="H21" s="8"/>
      <c r="I21" s="8"/>
      <c r="J21" s="9"/>
    </row>
    <row r="22" spans="1:10" x14ac:dyDescent="0.25">
      <c r="A22" s="4"/>
      <c r="B22" s="4"/>
      <c r="C22" s="4"/>
      <c r="D22" s="4"/>
      <c r="E22" s="4"/>
      <c r="F22" s="6"/>
      <c r="G22" s="8"/>
      <c r="H22" s="8"/>
      <c r="I22" s="8"/>
      <c r="J22" s="9"/>
    </row>
    <row r="23" spans="1:10" x14ac:dyDescent="0.25">
      <c r="A23" s="4"/>
      <c r="B23" s="4"/>
      <c r="C23" s="4"/>
      <c r="D23" s="4"/>
      <c r="E23" s="4"/>
      <c r="F23" s="6"/>
      <c r="G23" s="8"/>
      <c r="H23" s="8"/>
      <c r="I23" s="8"/>
      <c r="J23" s="9"/>
    </row>
    <row r="24" spans="1:10" x14ac:dyDescent="0.25">
      <c r="A24" s="4"/>
      <c r="B24" s="4"/>
      <c r="C24" s="4"/>
      <c r="D24" s="4"/>
      <c r="E24" s="4"/>
      <c r="F24" s="6"/>
      <c r="G24" s="8"/>
      <c r="H24" s="8"/>
      <c r="I24" s="8"/>
      <c r="J24" s="9"/>
    </row>
    <row r="25" spans="1:10" x14ac:dyDescent="0.25">
      <c r="A25" s="4"/>
      <c r="B25" s="4"/>
      <c r="C25" s="4"/>
      <c r="D25" s="4"/>
      <c r="E25" s="4"/>
      <c r="F25" s="6"/>
      <c r="G25" s="8"/>
      <c r="H25" s="8"/>
      <c r="I25" s="8"/>
      <c r="J25" s="9"/>
    </row>
    <row r="26" spans="1:10" x14ac:dyDescent="0.25">
      <c r="A26" s="4"/>
      <c r="B26" s="4"/>
      <c r="C26" s="4"/>
      <c r="D26" s="4"/>
      <c r="E26" s="4"/>
      <c r="F26" s="6"/>
      <c r="G26" s="8"/>
      <c r="H26" s="8"/>
      <c r="I26" s="8"/>
      <c r="J26" s="9"/>
    </row>
    <row r="27" spans="1:10" x14ac:dyDescent="0.25">
      <c r="A27" s="4"/>
      <c r="B27" s="4"/>
      <c r="C27" s="4"/>
      <c r="D27" s="4"/>
      <c r="E27" s="4"/>
      <c r="F27" s="6"/>
      <c r="G27" s="8"/>
      <c r="H27" s="8"/>
      <c r="I27" s="8"/>
      <c r="J27" s="9"/>
    </row>
    <row r="28" spans="1:10" x14ac:dyDescent="0.25">
      <c r="A28" s="4"/>
      <c r="B28" s="4"/>
      <c r="C28" s="4"/>
      <c r="D28" s="4"/>
      <c r="E28" s="4"/>
      <c r="F28" s="6"/>
      <c r="G28" s="8"/>
      <c r="H28" s="8"/>
      <c r="I28" s="8"/>
      <c r="J28" s="9"/>
    </row>
    <row r="29" spans="1:10" ht="17.25" customHeight="1" x14ac:dyDescent="0.25">
      <c r="A29" s="4"/>
      <c r="B29" s="4"/>
      <c r="C29" s="4"/>
      <c r="D29" s="4"/>
      <c r="E29" s="4"/>
      <c r="F29" s="75"/>
      <c r="G29" s="76"/>
      <c r="H29" s="76"/>
      <c r="I29" s="76"/>
      <c r="J29" s="77"/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defaultRowHeight="15" x14ac:dyDescent="0.25"/>
  <cols>
    <col min="1" max="1" width="120" style="10" customWidth="1"/>
  </cols>
  <sheetData/>
  <phoneticPr fontId="1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showGridLines="0" tabSelected="1" topLeftCell="A10" workbookViewId="0">
      <selection activeCell="I44" sqref="I44"/>
    </sheetView>
  </sheetViews>
  <sheetFormatPr defaultRowHeight="15" x14ac:dyDescent="0.25"/>
  <cols>
    <col min="1" max="1" width="18" style="10" customWidth="1"/>
    <col min="2" max="2" width="16" style="10" customWidth="1"/>
    <col min="3" max="3" width="35" style="10" customWidth="1"/>
    <col min="4" max="4" width="39.85546875" style="10" customWidth="1"/>
    <col min="5" max="5" width="55.85546875" style="10" customWidth="1"/>
    <col min="7" max="7" width="11.42578125" customWidth="1"/>
    <col min="8" max="8" width="16.7109375" customWidth="1"/>
  </cols>
  <sheetData>
    <row r="1" spans="1:5" ht="21.95" customHeight="1" x14ac:dyDescent="0.25">
      <c r="A1" s="196" t="s">
        <v>326</v>
      </c>
      <c r="B1" s="197"/>
      <c r="C1" s="197"/>
      <c r="D1" s="197"/>
      <c r="E1" s="197"/>
    </row>
    <row r="2" spans="1:5" x14ac:dyDescent="0.25">
      <c r="A2" s="15" t="s">
        <v>31</v>
      </c>
      <c r="B2" s="15" t="s">
        <v>0</v>
      </c>
      <c r="C2" s="212" t="s">
        <v>32</v>
      </c>
      <c r="D2" s="211"/>
    </row>
    <row r="3" spans="1:5" ht="18" customHeight="1" x14ac:dyDescent="0.25">
      <c r="A3" s="16" t="s">
        <v>33</v>
      </c>
      <c r="B3" s="16" t="s">
        <v>34</v>
      </c>
      <c r="C3" s="214" t="s">
        <v>35</v>
      </c>
      <c r="D3" s="211"/>
    </row>
    <row r="4" spans="1:5" ht="18" customHeight="1" x14ac:dyDescent="0.25">
      <c r="A4" s="18" t="s">
        <v>33</v>
      </c>
      <c r="B4" s="18" t="s">
        <v>36</v>
      </c>
      <c r="C4" s="210" t="s">
        <v>37</v>
      </c>
      <c r="D4" s="211"/>
    </row>
    <row r="5" spans="1:5" ht="18" customHeight="1" x14ac:dyDescent="0.25">
      <c r="A5" s="16" t="s">
        <v>33</v>
      </c>
      <c r="B5" s="16" t="s">
        <v>38</v>
      </c>
      <c r="C5" s="213" t="s">
        <v>39</v>
      </c>
      <c r="D5" s="211"/>
    </row>
    <row r="6" spans="1:5" ht="18" customHeight="1" x14ac:dyDescent="0.25">
      <c r="A6" s="18" t="s">
        <v>33</v>
      </c>
      <c r="B6" s="18" t="s">
        <v>40</v>
      </c>
      <c r="C6" s="210" t="s">
        <v>41</v>
      </c>
      <c r="D6" s="211"/>
    </row>
    <row r="7" spans="1:5" ht="9.9499999999999993" customHeight="1" x14ac:dyDescent="0.25"/>
    <row r="8" spans="1:5" ht="21.95" customHeight="1" x14ac:dyDescent="0.25">
      <c r="A8" s="196" t="s">
        <v>325</v>
      </c>
      <c r="B8" s="197"/>
      <c r="C8" s="197"/>
      <c r="D8" s="197"/>
      <c r="E8" s="197"/>
    </row>
    <row r="9" spans="1:5" x14ac:dyDescent="0.25">
      <c r="A9" s="15" t="s">
        <v>31</v>
      </c>
      <c r="B9" s="15" t="s">
        <v>42</v>
      </c>
      <c r="C9" s="15" t="s">
        <v>43</v>
      </c>
      <c r="D9" s="15" t="s">
        <v>44</v>
      </c>
      <c r="E9" s="49"/>
    </row>
    <row r="10" spans="1:5" ht="18" customHeight="1" x14ac:dyDescent="0.25">
      <c r="A10" s="16" t="s">
        <v>45</v>
      </c>
      <c r="B10" s="16">
        <v>0</v>
      </c>
      <c r="C10" s="38" t="s">
        <v>46</v>
      </c>
      <c r="D10" s="42" t="s">
        <v>47</v>
      </c>
    </row>
    <row r="11" spans="1:5" ht="18" customHeight="1" x14ac:dyDescent="0.25">
      <c r="A11" s="18" t="s">
        <v>45</v>
      </c>
      <c r="B11" s="18">
        <v>1</v>
      </c>
      <c r="C11" s="40" t="s">
        <v>48</v>
      </c>
      <c r="D11" s="43" t="s">
        <v>49</v>
      </c>
    </row>
    <row r="12" spans="1:5" ht="18" customHeight="1" x14ac:dyDescent="0.25">
      <c r="A12" s="16" t="s">
        <v>45</v>
      </c>
      <c r="B12" s="16">
        <v>2</v>
      </c>
      <c r="C12" s="38" t="s">
        <v>50</v>
      </c>
      <c r="D12" s="42" t="s">
        <v>51</v>
      </c>
    </row>
    <row r="13" spans="1:5" ht="18" customHeight="1" x14ac:dyDescent="0.25">
      <c r="A13" s="18" t="s">
        <v>45</v>
      </c>
      <c r="B13" s="18">
        <v>3</v>
      </c>
      <c r="C13" s="40" t="s">
        <v>52</v>
      </c>
      <c r="D13" s="43" t="s">
        <v>53</v>
      </c>
    </row>
    <row r="14" spans="1:5" ht="18" customHeight="1" x14ac:dyDescent="0.25">
      <c r="A14" s="16" t="s">
        <v>45</v>
      </c>
      <c r="B14" s="16">
        <v>4</v>
      </c>
      <c r="C14" s="38" t="s">
        <v>54</v>
      </c>
      <c r="D14" s="42" t="s">
        <v>55</v>
      </c>
    </row>
    <row r="15" spans="1:5" ht="18" customHeight="1" x14ac:dyDescent="0.25">
      <c r="A15" s="18" t="s">
        <v>45</v>
      </c>
      <c r="B15" s="18">
        <v>5</v>
      </c>
      <c r="C15" s="40" t="s">
        <v>56</v>
      </c>
      <c r="D15" s="43" t="s">
        <v>57</v>
      </c>
    </row>
    <row r="16" spans="1:5" ht="18" customHeight="1" x14ac:dyDescent="0.25">
      <c r="A16" s="16" t="s">
        <v>45</v>
      </c>
      <c r="B16" s="16">
        <v>6</v>
      </c>
      <c r="C16" s="38" t="s">
        <v>58</v>
      </c>
      <c r="D16" s="42" t="s">
        <v>59</v>
      </c>
    </row>
    <row r="17" spans="1:9" ht="18" customHeight="1" x14ac:dyDescent="0.25">
      <c r="A17" s="18" t="s">
        <v>45</v>
      </c>
      <c r="B17" s="18">
        <v>7</v>
      </c>
      <c r="C17" s="40" t="s">
        <v>60</v>
      </c>
      <c r="D17" s="43" t="s">
        <v>61</v>
      </c>
    </row>
    <row r="18" spans="1:9" ht="18" customHeight="1" x14ac:dyDescent="0.25">
      <c r="A18" s="16" t="s">
        <v>45</v>
      </c>
      <c r="B18" s="16">
        <v>8</v>
      </c>
      <c r="C18" s="38" t="s">
        <v>62</v>
      </c>
      <c r="D18" s="42" t="s">
        <v>63</v>
      </c>
    </row>
    <row r="19" spans="1:9" ht="9.9499999999999993" customHeight="1" x14ac:dyDescent="0.25"/>
    <row r="20" spans="1:9" ht="21.95" customHeight="1" x14ac:dyDescent="0.25">
      <c r="A20" s="196" t="s">
        <v>324</v>
      </c>
      <c r="B20" s="197"/>
      <c r="C20" s="197"/>
      <c r="D20" s="197"/>
      <c r="E20" s="197"/>
      <c r="G20" s="196" t="s">
        <v>367</v>
      </c>
      <c r="H20" s="197"/>
      <c r="I20" s="197"/>
    </row>
    <row r="21" spans="1:9" ht="18" customHeight="1" x14ac:dyDescent="0.25">
      <c r="A21" s="15" t="s">
        <v>31</v>
      </c>
      <c r="B21" s="15" t="s">
        <v>64</v>
      </c>
      <c r="C21" s="15" t="s">
        <v>65</v>
      </c>
      <c r="D21" s="15" t="s">
        <v>66</v>
      </c>
      <c r="E21" s="15" t="s">
        <v>67</v>
      </c>
      <c r="G21" s="15" t="s">
        <v>368</v>
      </c>
      <c r="H21" s="15" t="s">
        <v>369</v>
      </c>
      <c r="I21" s="15" t="s">
        <v>372</v>
      </c>
    </row>
    <row r="22" spans="1:9" ht="18" customHeight="1" x14ac:dyDescent="0.25">
      <c r="A22" s="16" t="s">
        <v>68</v>
      </c>
      <c r="B22" s="16" t="s">
        <v>69</v>
      </c>
      <c r="C22" s="17" t="s">
        <v>70</v>
      </c>
      <c r="D22" s="38" t="s">
        <v>71</v>
      </c>
      <c r="E22" s="17" t="s">
        <v>72</v>
      </c>
      <c r="G22" s="96" t="s">
        <v>370</v>
      </c>
      <c r="H22" s="96" t="s">
        <v>371</v>
      </c>
      <c r="I22" s="97" t="s">
        <v>373</v>
      </c>
    </row>
    <row r="23" spans="1:9" ht="18" customHeight="1" x14ac:dyDescent="0.25">
      <c r="A23" s="18" t="s">
        <v>73</v>
      </c>
      <c r="B23" s="18" t="s">
        <v>74</v>
      </c>
      <c r="C23" s="19" t="s">
        <v>75</v>
      </c>
      <c r="D23" s="40" t="s">
        <v>73</v>
      </c>
      <c r="E23" s="19" t="s">
        <v>76</v>
      </c>
      <c r="G23" s="106" t="s">
        <v>374</v>
      </c>
      <c r="H23" s="106" t="s">
        <v>349</v>
      </c>
      <c r="I23" s="107"/>
    </row>
    <row r="24" spans="1:9" ht="18" customHeight="1" x14ac:dyDescent="0.25">
      <c r="A24" s="16" t="s">
        <v>73</v>
      </c>
      <c r="B24" s="16" t="s">
        <v>77</v>
      </c>
      <c r="C24" s="17" t="s">
        <v>78</v>
      </c>
      <c r="D24" s="38" t="s">
        <v>73</v>
      </c>
      <c r="E24" s="17" t="s">
        <v>79</v>
      </c>
      <c r="G24" s="192"/>
      <c r="H24" s="193"/>
      <c r="I24" s="194"/>
    </row>
    <row r="25" spans="1:9" ht="18" customHeight="1" x14ac:dyDescent="0.25">
      <c r="A25" s="18" t="s">
        <v>73</v>
      </c>
      <c r="B25" s="18" t="s">
        <v>80</v>
      </c>
      <c r="C25" s="19" t="s">
        <v>81</v>
      </c>
      <c r="D25" s="40" t="s">
        <v>73</v>
      </c>
      <c r="E25" s="19" t="s">
        <v>82</v>
      </c>
    </row>
    <row r="26" spans="1:9" ht="18" customHeight="1" x14ac:dyDescent="0.25">
      <c r="A26" s="16" t="s">
        <v>73</v>
      </c>
      <c r="B26" s="16" t="s">
        <v>83</v>
      </c>
      <c r="C26" s="185" t="s">
        <v>84</v>
      </c>
      <c r="D26" s="38" t="s">
        <v>73</v>
      </c>
      <c r="E26" s="17" t="s">
        <v>85</v>
      </c>
    </row>
    <row r="27" spans="1:9" ht="18" customHeight="1" x14ac:dyDescent="0.25">
      <c r="A27" s="18" t="s">
        <v>73</v>
      </c>
      <c r="B27" s="18" t="s">
        <v>86</v>
      </c>
      <c r="C27" s="19" t="s">
        <v>87</v>
      </c>
      <c r="D27" s="40" t="s">
        <v>73</v>
      </c>
      <c r="E27" s="19" t="s">
        <v>88</v>
      </c>
    </row>
    <row r="28" spans="1:9" ht="18" customHeight="1" x14ac:dyDescent="0.25">
      <c r="A28" s="16" t="s">
        <v>73</v>
      </c>
      <c r="B28" s="16" t="s">
        <v>89</v>
      </c>
      <c r="C28" s="17" t="s">
        <v>90</v>
      </c>
      <c r="D28" s="38" t="s">
        <v>73</v>
      </c>
      <c r="E28" s="17" t="s">
        <v>91</v>
      </c>
    </row>
    <row r="29" spans="1:9" ht="18" customHeight="1" x14ac:dyDescent="0.25">
      <c r="A29" s="18" t="s">
        <v>73</v>
      </c>
      <c r="B29" s="18" t="s">
        <v>92</v>
      </c>
      <c r="C29" s="19" t="s">
        <v>93</v>
      </c>
      <c r="D29" s="40" t="s">
        <v>73</v>
      </c>
      <c r="E29" s="19" t="s">
        <v>94</v>
      </c>
    </row>
    <row r="30" spans="1:9" ht="18" customHeight="1" x14ac:dyDescent="0.25">
      <c r="A30" s="181" t="s">
        <v>358</v>
      </c>
      <c r="B30" s="181" t="s">
        <v>359</v>
      </c>
      <c r="C30" s="189" t="s">
        <v>360</v>
      </c>
      <c r="D30" s="190" t="s">
        <v>358</v>
      </c>
      <c r="E30" s="189" t="s">
        <v>361</v>
      </c>
    </row>
    <row r="31" spans="1:9" ht="18" customHeight="1" x14ac:dyDescent="0.25">
      <c r="A31" s="16" t="s">
        <v>73</v>
      </c>
      <c r="B31" s="16" t="s">
        <v>95</v>
      </c>
      <c r="C31" s="17" t="s">
        <v>96</v>
      </c>
      <c r="D31" s="38" t="s">
        <v>73</v>
      </c>
      <c r="E31" s="17" t="s">
        <v>97</v>
      </c>
    </row>
    <row r="32" spans="1:9" ht="18" customHeight="1" x14ac:dyDescent="0.25">
      <c r="A32" s="18" t="s">
        <v>73</v>
      </c>
      <c r="B32" s="18" t="s">
        <v>98</v>
      </c>
      <c r="C32" s="19" t="s">
        <v>99</v>
      </c>
      <c r="D32" s="40" t="s">
        <v>73</v>
      </c>
      <c r="E32" s="19" t="s">
        <v>100</v>
      </c>
    </row>
    <row r="33" spans="1:5" ht="18" customHeight="1" x14ac:dyDescent="0.25">
      <c r="A33" s="16" t="s">
        <v>73</v>
      </c>
      <c r="B33" s="16" t="s">
        <v>101</v>
      </c>
      <c r="C33" s="17" t="s">
        <v>102</v>
      </c>
      <c r="D33" s="38" t="s">
        <v>73</v>
      </c>
      <c r="E33" s="17" t="s">
        <v>103</v>
      </c>
    </row>
    <row r="34" spans="1:5" ht="18" customHeight="1" x14ac:dyDescent="0.25">
      <c r="A34" s="18" t="s">
        <v>73</v>
      </c>
      <c r="B34" s="18" t="s">
        <v>104</v>
      </c>
      <c r="C34" s="19" t="s">
        <v>105</v>
      </c>
      <c r="D34" s="40" t="s">
        <v>73</v>
      </c>
      <c r="E34" s="19" t="s">
        <v>106</v>
      </c>
    </row>
    <row r="35" spans="1:5" ht="18" customHeight="1" x14ac:dyDescent="0.25">
      <c r="A35" s="16" t="s">
        <v>73</v>
      </c>
      <c r="B35" s="16" t="s">
        <v>107</v>
      </c>
      <c r="C35" s="17" t="s">
        <v>108</v>
      </c>
      <c r="D35" s="38" t="s">
        <v>73</v>
      </c>
      <c r="E35" s="17" t="s">
        <v>109</v>
      </c>
    </row>
    <row r="36" spans="1:5" ht="18" customHeight="1" x14ac:dyDescent="0.25">
      <c r="A36" s="18" t="s">
        <v>73</v>
      </c>
      <c r="B36" s="18" t="s">
        <v>110</v>
      </c>
      <c r="C36" s="19" t="s">
        <v>111</v>
      </c>
      <c r="D36" s="40" t="s">
        <v>73</v>
      </c>
      <c r="E36" s="19" t="s">
        <v>112</v>
      </c>
    </row>
    <row r="37" spans="1:5" ht="18" customHeight="1" x14ac:dyDescent="0.25">
      <c r="A37" s="16" t="s">
        <v>73</v>
      </c>
      <c r="B37" s="16" t="s">
        <v>381</v>
      </c>
      <c r="C37" s="17" t="s">
        <v>113</v>
      </c>
      <c r="D37" s="38" t="s">
        <v>73</v>
      </c>
      <c r="E37" s="17" t="s">
        <v>114</v>
      </c>
    </row>
    <row r="38" spans="1:5" ht="18" customHeight="1" x14ac:dyDescent="0.25">
      <c r="A38" s="18" t="s">
        <v>73</v>
      </c>
      <c r="B38" s="18" t="s">
        <v>382</v>
      </c>
      <c r="C38" s="19" t="s">
        <v>115</v>
      </c>
      <c r="D38" s="40" t="s">
        <v>73</v>
      </c>
      <c r="E38" s="19" t="s">
        <v>116</v>
      </c>
    </row>
    <row r="39" spans="1:5" ht="18" customHeight="1" x14ac:dyDescent="0.25">
      <c r="A39" s="16" t="s">
        <v>73</v>
      </c>
      <c r="B39" s="16" t="s">
        <v>117</v>
      </c>
      <c r="C39" s="17" t="s">
        <v>118</v>
      </c>
      <c r="D39" s="38" t="s">
        <v>73</v>
      </c>
      <c r="E39" s="17" t="s">
        <v>119</v>
      </c>
    </row>
    <row r="41" spans="1:5" ht="21.95" customHeight="1" x14ac:dyDescent="0.25">
      <c r="A41" s="196" t="s">
        <v>327</v>
      </c>
      <c r="B41" s="197"/>
      <c r="C41" s="197"/>
      <c r="D41" s="197"/>
      <c r="E41" s="197"/>
    </row>
    <row r="42" spans="1:5" ht="16.5" x14ac:dyDescent="0.25">
      <c r="A42" s="15" t="s">
        <v>31</v>
      </c>
      <c r="B42" s="180" t="s">
        <v>329</v>
      </c>
      <c r="C42" s="208" t="s">
        <v>330</v>
      </c>
      <c r="D42" s="209"/>
      <c r="E42" s="209"/>
    </row>
    <row r="43" spans="1:5" ht="18" customHeight="1" x14ac:dyDescent="0.25">
      <c r="A43" s="182" t="s">
        <v>328</v>
      </c>
      <c r="B43" s="184" t="s">
        <v>334</v>
      </c>
      <c r="C43" s="201" t="s">
        <v>336</v>
      </c>
      <c r="D43" s="202"/>
      <c r="E43" s="203"/>
    </row>
    <row r="44" spans="1:5" ht="18" customHeight="1" x14ac:dyDescent="0.25">
      <c r="A44" s="181" t="s">
        <v>328</v>
      </c>
      <c r="B44" s="183" t="s">
        <v>335</v>
      </c>
      <c r="C44" s="204" t="s">
        <v>337</v>
      </c>
      <c r="D44" s="205"/>
      <c r="E44" s="206"/>
    </row>
    <row r="45" spans="1:5" ht="18" customHeight="1" x14ac:dyDescent="0.25">
      <c r="A45" s="182" t="s">
        <v>328</v>
      </c>
      <c r="B45" s="184" t="s">
        <v>331</v>
      </c>
      <c r="C45" s="201" t="s">
        <v>338</v>
      </c>
      <c r="D45" s="202"/>
      <c r="E45" s="203"/>
    </row>
    <row r="46" spans="1:5" ht="18" customHeight="1" x14ac:dyDescent="0.25">
      <c r="A46" s="186" t="s">
        <v>328</v>
      </c>
      <c r="B46" s="187" t="s">
        <v>332</v>
      </c>
      <c r="C46" s="198" t="s">
        <v>380</v>
      </c>
      <c r="D46" s="199"/>
      <c r="E46" s="200"/>
    </row>
    <row r="47" spans="1:5" ht="18" customHeight="1" x14ac:dyDescent="0.25">
      <c r="A47" s="186" t="s">
        <v>328</v>
      </c>
      <c r="B47" s="186" t="s">
        <v>333</v>
      </c>
      <c r="C47" s="207" t="s">
        <v>339</v>
      </c>
      <c r="D47" s="199"/>
      <c r="E47" s="200"/>
    </row>
    <row r="48" spans="1:5" ht="18" customHeight="1" x14ac:dyDescent="0.25">
      <c r="A48" s="186" t="s">
        <v>328</v>
      </c>
      <c r="B48" s="186" t="s">
        <v>89</v>
      </c>
      <c r="C48" s="198" t="s">
        <v>340</v>
      </c>
      <c r="D48" s="199"/>
      <c r="E48" s="200"/>
    </row>
  </sheetData>
  <mergeCells count="17">
    <mergeCell ref="C6:D6"/>
    <mergeCell ref="A20:E20"/>
    <mergeCell ref="C2:D2"/>
    <mergeCell ref="C5:D5"/>
    <mergeCell ref="A1:E1"/>
    <mergeCell ref="A8:E8"/>
    <mergeCell ref="C3:D3"/>
    <mergeCell ref="C4:D4"/>
    <mergeCell ref="G20:I20"/>
    <mergeCell ref="C48:E48"/>
    <mergeCell ref="C43:E43"/>
    <mergeCell ref="C44:E44"/>
    <mergeCell ref="C45:E45"/>
    <mergeCell ref="C46:E46"/>
    <mergeCell ref="C47:E47"/>
    <mergeCell ref="C42:E42"/>
    <mergeCell ref="A41:E41"/>
  </mergeCells>
  <phoneticPr fontId="15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>
      <selection activeCell="D37" sqref="D37"/>
    </sheetView>
  </sheetViews>
  <sheetFormatPr defaultRowHeight="15" x14ac:dyDescent="0.25"/>
  <cols>
    <col min="1" max="1" width="14" style="10" customWidth="1"/>
    <col min="2" max="2" width="27.28515625" style="10" customWidth="1"/>
    <col min="3" max="3" width="31.85546875" style="10" customWidth="1"/>
    <col min="4" max="4" width="62.28515625" style="10" customWidth="1"/>
    <col min="5" max="5" width="28" style="10" customWidth="1"/>
  </cols>
  <sheetData>
    <row r="1" spans="1:5" x14ac:dyDescent="0.25">
      <c r="A1" s="215" t="s">
        <v>120</v>
      </c>
      <c r="B1" s="197"/>
      <c r="C1" s="197"/>
      <c r="D1" s="197"/>
      <c r="E1" s="197"/>
    </row>
    <row r="2" spans="1:5" x14ac:dyDescent="0.25">
      <c r="A2" s="79" t="s">
        <v>31</v>
      </c>
      <c r="B2" s="79" t="s">
        <v>0</v>
      </c>
      <c r="C2" s="212" t="s">
        <v>32</v>
      </c>
      <c r="D2" s="211"/>
      <c r="E2" s="80" t="s">
        <v>121</v>
      </c>
    </row>
    <row r="3" spans="1:5" x14ac:dyDescent="0.25">
      <c r="A3" s="215" t="s">
        <v>122</v>
      </c>
      <c r="B3" s="197"/>
      <c r="C3" s="197"/>
      <c r="D3" s="197"/>
      <c r="E3" s="197"/>
    </row>
    <row r="4" spans="1:5" ht="30" customHeight="1" x14ac:dyDescent="0.25">
      <c r="A4" s="81" t="s">
        <v>123</v>
      </c>
      <c r="B4" s="81" t="s">
        <v>36</v>
      </c>
      <c r="C4" s="216" t="s">
        <v>124</v>
      </c>
      <c r="D4" s="211"/>
      <c r="E4" s="16" t="s">
        <v>125</v>
      </c>
    </row>
    <row r="5" spans="1:5" x14ac:dyDescent="0.25">
      <c r="A5" s="81" t="s">
        <v>123</v>
      </c>
      <c r="B5" s="81" t="s">
        <v>126</v>
      </c>
      <c r="C5" s="216" t="s">
        <v>127</v>
      </c>
      <c r="D5" s="211"/>
      <c r="E5" s="38"/>
    </row>
    <row r="6" spans="1:5" x14ac:dyDescent="0.25">
      <c r="A6" s="215" t="s">
        <v>128</v>
      </c>
      <c r="B6" s="197"/>
      <c r="C6" s="197"/>
      <c r="D6" s="197"/>
      <c r="E6" s="197"/>
    </row>
    <row r="7" spans="1:5" x14ac:dyDescent="0.25">
      <c r="A7" s="81" t="s">
        <v>129</v>
      </c>
      <c r="B7" s="81" t="s">
        <v>130</v>
      </c>
      <c r="C7" s="216" t="s">
        <v>131</v>
      </c>
      <c r="D7" s="211"/>
      <c r="E7" s="16" t="s">
        <v>132</v>
      </c>
    </row>
    <row r="8" spans="1:5" x14ac:dyDescent="0.25">
      <c r="A8" s="81" t="s">
        <v>129</v>
      </c>
      <c r="B8" s="81" t="s">
        <v>133</v>
      </c>
      <c r="C8" s="216" t="s">
        <v>134</v>
      </c>
      <c r="D8" s="211"/>
      <c r="E8" s="38"/>
    </row>
    <row r="9" spans="1:5" x14ac:dyDescent="0.25">
      <c r="A9" s="81" t="s">
        <v>135</v>
      </c>
      <c r="B9" s="81" t="s">
        <v>136</v>
      </c>
      <c r="C9" s="216" t="s">
        <v>137</v>
      </c>
      <c r="D9" s="211"/>
      <c r="E9" s="16" t="s">
        <v>138</v>
      </c>
    </row>
    <row r="10" spans="1:5" x14ac:dyDescent="0.25">
      <c r="A10" s="81" t="s">
        <v>135</v>
      </c>
      <c r="B10" s="81" t="s">
        <v>139</v>
      </c>
      <c r="C10" s="216" t="s">
        <v>140</v>
      </c>
      <c r="D10" s="211"/>
      <c r="E10" s="16" t="s">
        <v>141</v>
      </c>
    </row>
    <row r="11" spans="1:5" ht="16.5" customHeight="1" x14ac:dyDescent="0.25">
      <c r="A11" s="81" t="s">
        <v>135</v>
      </c>
      <c r="B11" s="81" t="s">
        <v>142</v>
      </c>
      <c r="C11" s="216" t="s">
        <v>143</v>
      </c>
      <c r="D11" s="211"/>
      <c r="E11" s="16" t="s">
        <v>144</v>
      </c>
    </row>
    <row r="12" spans="1:5" x14ac:dyDescent="0.25">
      <c r="A12" s="215" t="s">
        <v>145</v>
      </c>
      <c r="B12" s="197"/>
      <c r="C12" s="197"/>
      <c r="D12" s="197"/>
      <c r="E12" s="197"/>
    </row>
    <row r="13" spans="1:5" ht="30" customHeight="1" x14ac:dyDescent="0.25">
      <c r="A13" s="81" t="s">
        <v>146</v>
      </c>
      <c r="B13" s="81" t="s">
        <v>147</v>
      </c>
      <c r="C13" s="216" t="s">
        <v>148</v>
      </c>
      <c r="D13" s="211"/>
      <c r="E13" s="16" t="s">
        <v>149</v>
      </c>
    </row>
    <row r="14" spans="1:5" x14ac:dyDescent="0.25">
      <c r="A14" s="81" t="s">
        <v>146</v>
      </c>
      <c r="B14" s="81" t="s">
        <v>150</v>
      </c>
      <c r="C14" s="216" t="s">
        <v>151</v>
      </c>
      <c r="D14" s="211"/>
      <c r="E14" s="38"/>
    </row>
    <row r="15" spans="1:5" x14ac:dyDescent="0.25">
      <c r="A15" s="81" t="s">
        <v>146</v>
      </c>
      <c r="B15" s="81" t="s">
        <v>152</v>
      </c>
      <c r="C15" s="216" t="s">
        <v>153</v>
      </c>
      <c r="D15" s="211"/>
      <c r="E15" s="38"/>
    </row>
    <row r="16" spans="1:5" x14ac:dyDescent="0.25">
      <c r="A16" s="81" t="s">
        <v>146</v>
      </c>
      <c r="B16" s="81" t="s">
        <v>154</v>
      </c>
      <c r="C16" s="216" t="s">
        <v>155</v>
      </c>
      <c r="D16" s="211"/>
      <c r="E16" s="38"/>
    </row>
    <row r="17" spans="1:5" x14ac:dyDescent="0.25">
      <c r="A17" s="81" t="s">
        <v>146</v>
      </c>
      <c r="B17" s="81" t="s">
        <v>156</v>
      </c>
      <c r="C17" s="216" t="s">
        <v>157</v>
      </c>
      <c r="D17" s="211"/>
      <c r="E17" s="16" t="s">
        <v>158</v>
      </c>
    </row>
    <row r="18" spans="1:5" x14ac:dyDescent="0.25">
      <c r="A18" s="215" t="s">
        <v>159</v>
      </c>
      <c r="B18" s="197"/>
      <c r="C18" s="197"/>
      <c r="D18" s="197"/>
      <c r="E18" s="197"/>
    </row>
    <row r="19" spans="1:5" x14ac:dyDescent="0.25">
      <c r="A19" s="81" t="s">
        <v>160</v>
      </c>
      <c r="B19" s="81" t="s">
        <v>147</v>
      </c>
      <c r="C19" s="216" t="s">
        <v>161</v>
      </c>
      <c r="D19" s="211"/>
      <c r="E19" s="16" t="s">
        <v>162</v>
      </c>
    </row>
    <row r="20" spans="1:5" x14ac:dyDescent="0.25">
      <c r="A20" s="81" t="s">
        <v>160</v>
      </c>
      <c r="B20" s="81" t="s">
        <v>150</v>
      </c>
      <c r="C20" s="216" t="s">
        <v>163</v>
      </c>
      <c r="D20" s="211"/>
      <c r="E20" s="38"/>
    </row>
    <row r="21" spans="1:5" x14ac:dyDescent="0.25">
      <c r="A21" s="81" t="s">
        <v>160</v>
      </c>
      <c r="B21" s="81" t="s">
        <v>152</v>
      </c>
      <c r="C21" s="216" t="s">
        <v>163</v>
      </c>
      <c r="D21" s="211"/>
      <c r="E21" s="38"/>
    </row>
    <row r="22" spans="1:5" x14ac:dyDescent="0.25">
      <c r="A22" s="81" t="s">
        <v>160</v>
      </c>
      <c r="B22" s="81" t="s">
        <v>154</v>
      </c>
      <c r="C22" s="216" t="s">
        <v>164</v>
      </c>
      <c r="D22" s="211"/>
      <c r="E22" s="38"/>
    </row>
    <row r="23" spans="1:5" x14ac:dyDescent="0.25">
      <c r="A23" s="81" t="s">
        <v>160</v>
      </c>
      <c r="B23" s="81" t="s">
        <v>156</v>
      </c>
      <c r="C23" s="216" t="s">
        <v>165</v>
      </c>
      <c r="D23" s="211"/>
      <c r="E23" s="16" t="s">
        <v>158</v>
      </c>
    </row>
    <row r="24" spans="1:5" x14ac:dyDescent="0.25">
      <c r="A24" s="215" t="s">
        <v>166</v>
      </c>
      <c r="B24" s="197"/>
      <c r="C24" s="197"/>
      <c r="D24" s="197"/>
      <c r="E24" s="197"/>
    </row>
    <row r="25" spans="1:5" x14ac:dyDescent="0.25">
      <c r="A25" s="81" t="s">
        <v>167</v>
      </c>
      <c r="B25" s="81" t="s">
        <v>168</v>
      </c>
      <c r="C25" s="216" t="s">
        <v>169</v>
      </c>
      <c r="D25" s="211"/>
      <c r="E25" s="16" t="s">
        <v>170</v>
      </c>
    </row>
    <row r="26" spans="1:5" x14ac:dyDescent="0.25">
      <c r="A26" s="81" t="s">
        <v>167</v>
      </c>
      <c r="B26" s="81" t="s">
        <v>171</v>
      </c>
      <c r="C26" s="216" t="s">
        <v>172</v>
      </c>
      <c r="D26" s="211"/>
      <c r="E26" s="38"/>
    </row>
    <row r="27" spans="1:5" x14ac:dyDescent="0.25">
      <c r="A27" s="215" t="s">
        <v>173</v>
      </c>
      <c r="B27" s="197"/>
      <c r="C27" s="197"/>
      <c r="D27" s="197"/>
      <c r="E27" s="197"/>
    </row>
    <row r="28" spans="1:5" x14ac:dyDescent="0.25">
      <c r="A28" s="81" t="s">
        <v>174</v>
      </c>
      <c r="B28" s="81" t="s">
        <v>175</v>
      </c>
      <c r="C28" s="216" t="s">
        <v>176</v>
      </c>
      <c r="D28" s="211"/>
      <c r="E28" s="16" t="s">
        <v>177</v>
      </c>
    </row>
    <row r="29" spans="1:5" ht="18" customHeight="1" x14ac:dyDescent="0.25">
      <c r="A29" s="79" t="s">
        <v>178</v>
      </c>
      <c r="B29" s="82" t="s">
        <v>179</v>
      </c>
      <c r="C29" s="15" t="s">
        <v>180</v>
      </c>
      <c r="D29" s="15" t="s">
        <v>181</v>
      </c>
      <c r="E29" s="15" t="s">
        <v>44</v>
      </c>
    </row>
    <row r="30" spans="1:5" ht="21.95" customHeight="1" x14ac:dyDescent="0.25">
      <c r="A30" s="81" t="s">
        <v>146</v>
      </c>
      <c r="B30" s="83" t="s">
        <v>182</v>
      </c>
      <c r="C30" s="16" t="s">
        <v>183</v>
      </c>
      <c r="D30" s="16" t="s">
        <v>184</v>
      </c>
      <c r="E30" s="16" t="s">
        <v>185</v>
      </c>
    </row>
    <row r="31" spans="1:5" ht="21.95" customHeight="1" x14ac:dyDescent="0.25">
      <c r="A31" s="81" t="s">
        <v>160</v>
      </c>
      <c r="B31" s="83" t="s">
        <v>182</v>
      </c>
      <c r="C31" s="16" t="s">
        <v>183</v>
      </c>
      <c r="D31" s="16" t="s">
        <v>186</v>
      </c>
      <c r="E31" s="16" t="s">
        <v>187</v>
      </c>
    </row>
    <row r="32" spans="1:5" ht="21.95" customHeight="1" x14ac:dyDescent="0.25">
      <c r="A32" s="81" t="s">
        <v>146</v>
      </c>
      <c r="B32" s="83" t="s">
        <v>188</v>
      </c>
      <c r="C32" s="16" t="s">
        <v>189</v>
      </c>
      <c r="D32" s="16" t="s">
        <v>190</v>
      </c>
      <c r="E32" s="16" t="s">
        <v>191</v>
      </c>
    </row>
    <row r="33" spans="1:5" ht="21.95" customHeight="1" x14ac:dyDescent="0.25">
      <c r="A33" s="81" t="s">
        <v>146</v>
      </c>
      <c r="B33" s="83" t="s">
        <v>192</v>
      </c>
      <c r="C33" s="16" t="s">
        <v>193</v>
      </c>
      <c r="D33" s="16" t="s">
        <v>194</v>
      </c>
      <c r="E33" s="16" t="s">
        <v>195</v>
      </c>
    </row>
    <row r="34" spans="1:5" ht="34.5" customHeight="1" x14ac:dyDescent="0.25">
      <c r="A34" s="81" t="s">
        <v>160</v>
      </c>
      <c r="B34" s="83" t="s">
        <v>196</v>
      </c>
      <c r="C34" s="16" t="s">
        <v>197</v>
      </c>
      <c r="D34" s="16" t="s">
        <v>198</v>
      </c>
      <c r="E34" s="16" t="s">
        <v>199</v>
      </c>
    </row>
  </sheetData>
  <mergeCells count="28">
    <mergeCell ref="C28:D28"/>
    <mergeCell ref="C13:D13"/>
    <mergeCell ref="A27:E27"/>
    <mergeCell ref="A1:E1"/>
    <mergeCell ref="A6:E6"/>
    <mergeCell ref="C2:D2"/>
    <mergeCell ref="C11:D11"/>
    <mergeCell ref="C23:D23"/>
    <mergeCell ref="C17:D17"/>
    <mergeCell ref="C8:D8"/>
    <mergeCell ref="C7:D7"/>
    <mergeCell ref="C19:D19"/>
    <mergeCell ref="C4:D4"/>
    <mergeCell ref="C20:D20"/>
    <mergeCell ref="C10:D10"/>
    <mergeCell ref="C16:D16"/>
    <mergeCell ref="A3:E3"/>
    <mergeCell ref="A12:E12"/>
    <mergeCell ref="C21:D21"/>
    <mergeCell ref="C26:D26"/>
    <mergeCell ref="C25:D25"/>
    <mergeCell ref="A24:E24"/>
    <mergeCell ref="C14:D14"/>
    <mergeCell ref="C15:D15"/>
    <mergeCell ref="C5:D5"/>
    <mergeCell ref="C22:D22"/>
    <mergeCell ref="C9:D9"/>
    <mergeCell ref="A18:E18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9"/>
  <sheetViews>
    <sheetView showGridLines="0" topLeftCell="F1" zoomScaleNormal="100" workbookViewId="0">
      <selection activeCell="M42" sqref="M42"/>
    </sheetView>
  </sheetViews>
  <sheetFormatPr defaultRowHeight="15" x14ac:dyDescent="0.25"/>
  <cols>
    <col min="1" max="1" width="12" style="10" customWidth="1"/>
    <col min="2" max="2" width="22" style="10" customWidth="1"/>
    <col min="3" max="3" width="10" style="10" customWidth="1"/>
    <col min="4" max="4" width="18" style="10" customWidth="1"/>
    <col min="5" max="5" width="14.28515625" style="10" customWidth="1"/>
    <col min="6" max="6" width="14.7109375" style="1" customWidth="1"/>
    <col min="7" max="7" width="46.140625" style="10" customWidth="1"/>
    <col min="8" max="8" width="26.140625" style="10" customWidth="1"/>
    <col min="9" max="9" width="12.42578125" style="10" customWidth="1"/>
    <col min="10" max="10" width="19.85546875" style="10" customWidth="1"/>
    <col min="11" max="11" width="12" style="10" customWidth="1"/>
    <col min="12" max="12" width="12.140625" style="1" customWidth="1"/>
    <col min="13" max="13" width="49.85546875" style="10" customWidth="1"/>
    <col min="14" max="14" width="27" style="10" customWidth="1"/>
    <col min="15" max="15" width="25.140625" style="10" customWidth="1"/>
    <col min="16" max="16" width="3" style="10" customWidth="1"/>
    <col min="17" max="17" width="14" style="10" customWidth="1"/>
    <col min="18" max="18" width="28" style="10" customWidth="1"/>
  </cols>
  <sheetData>
    <row r="1" spans="1:18" ht="20.100000000000001" customHeight="1" x14ac:dyDescent="0.25">
      <c r="A1" s="235" t="s">
        <v>200</v>
      </c>
      <c r="B1" s="234" t="s">
        <v>320</v>
      </c>
      <c r="C1" s="221"/>
      <c r="D1" s="221"/>
      <c r="E1" s="221"/>
      <c r="F1" s="221"/>
      <c r="G1" s="221"/>
      <c r="H1" s="221"/>
      <c r="I1" s="222"/>
      <c r="J1" s="220" t="s">
        <v>321</v>
      </c>
      <c r="K1" s="221"/>
      <c r="L1" s="221"/>
      <c r="M1" s="221"/>
      <c r="N1" s="221"/>
      <c r="O1" s="222"/>
    </row>
    <row r="2" spans="1:18" ht="20.100000000000001" customHeight="1" x14ac:dyDescent="0.25">
      <c r="A2" s="236"/>
      <c r="B2" s="86" t="s">
        <v>202</v>
      </c>
      <c r="C2" s="86" t="s">
        <v>203</v>
      </c>
      <c r="D2" s="86" t="s">
        <v>204</v>
      </c>
      <c r="E2" s="86" t="s">
        <v>205</v>
      </c>
      <c r="F2" s="87" t="s">
        <v>206</v>
      </c>
      <c r="G2" s="86" t="s">
        <v>43</v>
      </c>
      <c r="H2" s="88" t="s">
        <v>207</v>
      </c>
      <c r="I2" s="89" t="s">
        <v>208</v>
      </c>
      <c r="J2" s="90" t="s">
        <v>209</v>
      </c>
      <c r="K2" s="91" t="s">
        <v>205</v>
      </c>
      <c r="L2" s="92" t="s">
        <v>206</v>
      </c>
      <c r="M2" s="91" t="s">
        <v>43</v>
      </c>
      <c r="N2" s="93" t="s">
        <v>207</v>
      </c>
      <c r="O2" s="94" t="s">
        <v>208</v>
      </c>
    </row>
    <row r="3" spans="1:18" ht="20.100000000000001" customHeight="1" x14ac:dyDescent="0.25">
      <c r="A3" s="223" t="s">
        <v>210</v>
      </c>
      <c r="B3" s="237" t="s">
        <v>319</v>
      </c>
      <c r="C3" s="229" t="s">
        <v>212</v>
      </c>
      <c r="D3" s="95" t="s">
        <v>213</v>
      </c>
      <c r="E3" s="96" t="s">
        <v>214</v>
      </c>
      <c r="F3" s="97">
        <v>1</v>
      </c>
      <c r="G3" s="95" t="s">
        <v>296</v>
      </c>
      <c r="H3" s="98" t="s">
        <v>215</v>
      </c>
      <c r="I3" s="99" t="s">
        <v>315</v>
      </c>
      <c r="J3" s="100" t="s">
        <v>216</v>
      </c>
      <c r="K3" s="96" t="s">
        <v>214</v>
      </c>
      <c r="L3" s="97">
        <v>1</v>
      </c>
      <c r="M3" s="101" t="s">
        <v>217</v>
      </c>
      <c r="N3" s="98" t="s">
        <v>218</v>
      </c>
      <c r="O3" s="102" t="s">
        <v>212</v>
      </c>
    </row>
    <row r="4" spans="1:18" ht="20.100000000000001" customHeight="1" x14ac:dyDescent="0.25">
      <c r="A4" s="224"/>
      <c r="B4" s="238"/>
      <c r="C4" s="230"/>
      <c r="D4" s="95" t="s">
        <v>219</v>
      </c>
      <c r="E4" s="96" t="s">
        <v>214</v>
      </c>
      <c r="F4" s="97">
        <v>1</v>
      </c>
      <c r="G4" s="95" t="s">
        <v>297</v>
      </c>
      <c r="H4" s="98" t="s">
        <v>221</v>
      </c>
      <c r="I4" s="99" t="s">
        <v>315</v>
      </c>
      <c r="J4" s="100" t="s">
        <v>68</v>
      </c>
      <c r="K4" s="96" t="s">
        <v>214</v>
      </c>
      <c r="L4" s="97">
        <v>1</v>
      </c>
      <c r="M4" s="103" t="s">
        <v>298</v>
      </c>
      <c r="N4" s="98" t="s">
        <v>222</v>
      </c>
      <c r="O4" s="102" t="s">
        <v>315</v>
      </c>
    </row>
    <row r="5" spans="1:18" ht="20.100000000000001" customHeight="1" x14ac:dyDescent="0.25">
      <c r="A5" s="224"/>
      <c r="B5" s="238"/>
      <c r="C5" s="230"/>
      <c r="D5" s="95" t="s">
        <v>146</v>
      </c>
      <c r="E5" s="96" t="s">
        <v>223</v>
      </c>
      <c r="F5" s="97">
        <v>2</v>
      </c>
      <c r="G5" t="s">
        <v>317</v>
      </c>
      <c r="H5" s="98" t="s">
        <v>224</v>
      </c>
      <c r="I5" s="99" t="s">
        <v>218</v>
      </c>
      <c r="J5" s="100" t="s">
        <v>146</v>
      </c>
      <c r="K5" s="96" t="s">
        <v>223</v>
      </c>
      <c r="L5" s="97">
        <v>2</v>
      </c>
      <c r="M5" t="s">
        <v>317</v>
      </c>
      <c r="N5" s="98" t="s">
        <v>224</v>
      </c>
      <c r="O5" s="104" t="s">
        <v>218</v>
      </c>
    </row>
    <row r="6" spans="1:18" ht="20.100000000000001" customHeight="1" x14ac:dyDescent="0.25">
      <c r="A6" s="224"/>
      <c r="B6" s="239"/>
      <c r="C6" s="231"/>
      <c r="D6" s="105"/>
      <c r="E6" s="106"/>
      <c r="F6" s="107"/>
      <c r="G6" s="85" t="s">
        <v>225</v>
      </c>
      <c r="H6" s="108">
        <f>SUM(F3:F5) + 1</f>
        <v>5</v>
      </c>
      <c r="I6" s="109" t="s">
        <v>218</v>
      </c>
      <c r="J6" s="110"/>
      <c r="K6" s="106"/>
      <c r="L6" s="107"/>
      <c r="M6" s="85" t="s">
        <v>225</v>
      </c>
      <c r="N6" s="108">
        <f>SUM(L3:L5)</f>
        <v>4</v>
      </c>
      <c r="O6" s="111"/>
    </row>
    <row r="7" spans="1:18" ht="20.100000000000001" customHeight="1" x14ac:dyDescent="0.25">
      <c r="A7" s="224"/>
      <c r="B7" s="232" t="s">
        <v>226</v>
      </c>
      <c r="C7" s="242" t="s">
        <v>227</v>
      </c>
      <c r="D7" s="126" t="s">
        <v>146</v>
      </c>
      <c r="E7" s="127" t="s">
        <v>223</v>
      </c>
      <c r="F7" s="128">
        <v>2</v>
      </c>
      <c r="G7" s="125" t="s">
        <v>317</v>
      </c>
      <c r="H7" s="129" t="s">
        <v>224</v>
      </c>
      <c r="I7" s="130" t="s">
        <v>218</v>
      </c>
      <c r="J7" s="131" t="s">
        <v>216</v>
      </c>
      <c r="K7" s="132" t="s">
        <v>214</v>
      </c>
      <c r="L7" s="133">
        <v>1</v>
      </c>
      <c r="M7" s="134" t="s">
        <v>217</v>
      </c>
      <c r="N7" s="135" t="s">
        <v>218</v>
      </c>
      <c r="O7" s="136" t="s">
        <v>227</v>
      </c>
    </row>
    <row r="8" spans="1:18" ht="20.100000000000001" customHeight="1" x14ac:dyDescent="0.25">
      <c r="A8" s="224"/>
      <c r="B8" s="227"/>
      <c r="C8" s="218"/>
      <c r="D8" s="126"/>
      <c r="E8" s="127"/>
      <c r="F8" s="128"/>
      <c r="G8" s="127"/>
      <c r="H8" s="129"/>
      <c r="I8" s="137"/>
      <c r="J8" s="138" t="s">
        <v>68</v>
      </c>
      <c r="K8" s="127" t="s">
        <v>214</v>
      </c>
      <c r="L8" s="128">
        <v>1</v>
      </c>
      <c r="M8" s="139" t="s">
        <v>299</v>
      </c>
      <c r="N8" s="129" t="s">
        <v>222</v>
      </c>
      <c r="O8" s="140" t="s">
        <v>69</v>
      </c>
    </row>
    <row r="9" spans="1:18" ht="20.100000000000001" customHeight="1" x14ac:dyDescent="0.25">
      <c r="A9" s="224"/>
      <c r="B9" s="227"/>
      <c r="C9" s="218"/>
      <c r="D9" s="126"/>
      <c r="E9" s="127"/>
      <c r="F9" s="128"/>
      <c r="G9" s="127"/>
      <c r="H9" s="129"/>
      <c r="I9" s="137"/>
      <c r="J9" s="138" t="s">
        <v>146</v>
      </c>
      <c r="K9" s="127" t="s">
        <v>223</v>
      </c>
      <c r="L9" s="128">
        <v>2</v>
      </c>
      <c r="M9" s="125" t="s">
        <v>317</v>
      </c>
      <c r="N9" s="129" t="s">
        <v>224</v>
      </c>
      <c r="O9" s="140" t="s">
        <v>218</v>
      </c>
    </row>
    <row r="10" spans="1:18" ht="20.100000000000001" customHeight="1" x14ac:dyDescent="0.25">
      <c r="A10" s="224"/>
      <c r="B10" s="228"/>
      <c r="C10" s="219"/>
      <c r="D10" s="141"/>
      <c r="E10" s="142"/>
      <c r="F10" s="143"/>
      <c r="G10" s="144" t="s">
        <v>225</v>
      </c>
      <c r="H10" s="145">
        <f>SUM(F7:F9) + 1</f>
        <v>3</v>
      </c>
      <c r="I10" s="146"/>
      <c r="J10" s="147"/>
      <c r="K10" s="142"/>
      <c r="L10" s="143"/>
      <c r="M10" s="144" t="s">
        <v>300</v>
      </c>
      <c r="N10" s="145">
        <f>SUM(L7:L9)</f>
        <v>4</v>
      </c>
      <c r="O10" s="148"/>
    </row>
    <row r="11" spans="1:18" ht="20.100000000000001" customHeight="1" x14ac:dyDescent="0.25">
      <c r="A11" s="224"/>
      <c r="B11" s="240" t="s">
        <v>230</v>
      </c>
      <c r="C11" s="233" t="s">
        <v>231</v>
      </c>
      <c r="D11" s="112" t="s">
        <v>213</v>
      </c>
      <c r="E11" s="113" t="s">
        <v>214</v>
      </c>
      <c r="F11" s="114">
        <v>1</v>
      </c>
      <c r="G11" s="112" t="s">
        <v>301</v>
      </c>
      <c r="H11" s="115" t="s">
        <v>215</v>
      </c>
      <c r="I11" s="104" t="s">
        <v>315</v>
      </c>
      <c r="J11" s="100" t="s">
        <v>216</v>
      </c>
      <c r="K11" s="96" t="s">
        <v>214</v>
      </c>
      <c r="L11" s="97">
        <v>1</v>
      </c>
      <c r="M11" s="101" t="s">
        <v>217</v>
      </c>
      <c r="N11" s="98" t="s">
        <v>218</v>
      </c>
      <c r="O11" s="102" t="s">
        <v>364</v>
      </c>
    </row>
    <row r="12" spans="1:18" ht="20.100000000000001" customHeight="1" x14ac:dyDescent="0.25">
      <c r="A12" s="224"/>
      <c r="B12" s="243"/>
      <c r="C12" s="241"/>
      <c r="D12" s="95" t="s">
        <v>232</v>
      </c>
      <c r="E12" s="96" t="s">
        <v>214</v>
      </c>
      <c r="F12" s="97">
        <v>1</v>
      </c>
      <c r="G12" s="95" t="s">
        <v>302</v>
      </c>
      <c r="H12" s="98" t="s">
        <v>233</v>
      </c>
      <c r="I12" s="117" t="s">
        <v>315</v>
      </c>
      <c r="J12" s="120" t="s">
        <v>365</v>
      </c>
      <c r="K12" s="113" t="s">
        <v>214</v>
      </c>
      <c r="L12" s="114">
        <v>1</v>
      </c>
      <c r="M12" s="116" t="s">
        <v>301</v>
      </c>
      <c r="N12" s="115"/>
      <c r="O12" s="104"/>
    </row>
    <row r="13" spans="1:18" ht="20.100000000000001" customHeight="1" x14ac:dyDescent="0.25">
      <c r="A13" s="224"/>
      <c r="B13" s="238"/>
      <c r="C13" s="230"/>
      <c r="D13" s="95" t="s">
        <v>146</v>
      </c>
      <c r="E13" s="96" t="s">
        <v>223</v>
      </c>
      <c r="F13" s="97">
        <v>2</v>
      </c>
      <c r="G13" s="191" t="s">
        <v>363</v>
      </c>
      <c r="H13" s="98" t="s">
        <v>224</v>
      </c>
      <c r="I13" s="99" t="s">
        <v>218</v>
      </c>
      <c r="J13" s="100" t="s">
        <v>366</v>
      </c>
      <c r="K13" s="96" t="s">
        <v>214</v>
      </c>
      <c r="L13" s="97">
        <v>1</v>
      </c>
      <c r="M13" s="124" t="s">
        <v>316</v>
      </c>
      <c r="N13" s="98" t="s">
        <v>233</v>
      </c>
      <c r="O13" s="117" t="s">
        <v>315</v>
      </c>
    </row>
    <row r="14" spans="1:18" ht="20.100000000000001" customHeight="1" x14ac:dyDescent="0.25">
      <c r="A14" s="224"/>
      <c r="B14" s="238"/>
      <c r="C14" s="230"/>
      <c r="D14" s="95"/>
      <c r="E14" s="96"/>
      <c r="F14" s="97"/>
      <c r="G14"/>
      <c r="H14" s="98"/>
      <c r="I14" s="99"/>
      <c r="J14" s="100" t="s">
        <v>146</v>
      </c>
      <c r="K14" s="96" t="s">
        <v>223</v>
      </c>
      <c r="L14" s="97">
        <v>2</v>
      </c>
      <c r="M14" t="s">
        <v>363</v>
      </c>
      <c r="N14" s="98" t="s">
        <v>224</v>
      </c>
      <c r="O14" s="117" t="s">
        <v>218</v>
      </c>
    </row>
    <row r="15" spans="1:18" ht="20.100000000000001" customHeight="1" x14ac:dyDescent="0.25">
      <c r="A15" s="224"/>
      <c r="B15" s="239"/>
      <c r="C15" s="231"/>
      <c r="D15" s="105"/>
      <c r="E15" s="106"/>
      <c r="F15" s="107"/>
      <c r="G15" s="85" t="s">
        <v>303</v>
      </c>
      <c r="H15" s="108">
        <f>SUM(F11:F14) + 1</f>
        <v>5</v>
      </c>
      <c r="I15" s="109" t="s">
        <v>218</v>
      </c>
      <c r="J15" s="110"/>
      <c r="K15" s="106"/>
      <c r="L15" s="107"/>
      <c r="M15" s="85" t="s">
        <v>225</v>
      </c>
      <c r="N15" s="108">
        <f>SUM(L11:L14)</f>
        <v>5</v>
      </c>
      <c r="O15" s="118"/>
    </row>
    <row r="16" spans="1:18" ht="20.100000000000001" customHeight="1" x14ac:dyDescent="0.25">
      <c r="A16" s="224"/>
      <c r="B16" s="232" t="s">
        <v>234</v>
      </c>
      <c r="C16" s="242" t="s">
        <v>235</v>
      </c>
      <c r="D16" s="149" t="s">
        <v>213</v>
      </c>
      <c r="E16" s="132" t="s">
        <v>214</v>
      </c>
      <c r="F16" s="133">
        <v>1</v>
      </c>
      <c r="G16" s="149" t="s">
        <v>301</v>
      </c>
      <c r="H16" s="135" t="s">
        <v>215</v>
      </c>
      <c r="I16" s="152" t="s">
        <v>354</v>
      </c>
      <c r="J16" s="131" t="s">
        <v>216</v>
      </c>
      <c r="K16" s="132" t="s">
        <v>214</v>
      </c>
      <c r="L16" s="133">
        <v>1</v>
      </c>
      <c r="M16" s="134" t="s">
        <v>217</v>
      </c>
      <c r="N16" s="135" t="s">
        <v>218</v>
      </c>
      <c r="O16" s="136" t="s">
        <v>235</v>
      </c>
      <c r="Q16" s="71"/>
      <c r="R16" s="71"/>
    </row>
    <row r="17" spans="1:18" ht="20.100000000000001" customHeight="1" x14ac:dyDescent="0.25">
      <c r="A17" s="224"/>
      <c r="B17" s="227"/>
      <c r="C17" s="218"/>
      <c r="D17" s="126" t="s">
        <v>232</v>
      </c>
      <c r="E17" s="127" t="s">
        <v>214</v>
      </c>
      <c r="F17" s="128">
        <v>1</v>
      </c>
      <c r="G17" s="126" t="s">
        <v>302</v>
      </c>
      <c r="H17" s="129" t="s">
        <v>233</v>
      </c>
      <c r="I17" s="158" t="s">
        <v>349</v>
      </c>
      <c r="J17" s="138" t="s">
        <v>213</v>
      </c>
      <c r="K17" s="127" t="s">
        <v>214</v>
      </c>
      <c r="L17" s="128">
        <v>1</v>
      </c>
      <c r="M17" s="151" t="s">
        <v>304</v>
      </c>
      <c r="N17" s="129" t="s">
        <v>215</v>
      </c>
      <c r="O17" s="152" t="s">
        <v>354</v>
      </c>
      <c r="Q17" s="72"/>
      <c r="R17" s="73"/>
    </row>
    <row r="18" spans="1:18" ht="20.100000000000001" customHeight="1" x14ac:dyDescent="0.25">
      <c r="A18" s="224"/>
      <c r="B18" s="227"/>
      <c r="C18" s="218"/>
      <c r="D18" s="153" t="s">
        <v>146</v>
      </c>
      <c r="E18" s="154" t="s">
        <v>223</v>
      </c>
      <c r="F18" s="155">
        <v>2</v>
      </c>
      <c r="G18" s="125" t="s">
        <v>317</v>
      </c>
      <c r="H18" s="156" t="s">
        <v>224</v>
      </c>
      <c r="I18" s="157" t="s">
        <v>218</v>
      </c>
      <c r="J18" s="138" t="s">
        <v>232</v>
      </c>
      <c r="K18" s="127" t="s">
        <v>214</v>
      </c>
      <c r="L18" s="128">
        <v>1</v>
      </c>
      <c r="M18" s="151" t="s">
        <v>305</v>
      </c>
      <c r="N18" s="129" t="s">
        <v>236</v>
      </c>
      <c r="O18" s="158" t="s">
        <v>349</v>
      </c>
      <c r="Q18" s="72"/>
      <c r="R18" s="73"/>
    </row>
    <row r="19" spans="1:18" ht="20.100000000000001" customHeight="1" x14ac:dyDescent="0.25">
      <c r="A19" s="224"/>
      <c r="B19" s="227"/>
      <c r="C19" s="218"/>
      <c r="D19" s="126"/>
      <c r="E19" s="127"/>
      <c r="F19" s="128"/>
      <c r="G19" s="127"/>
      <c r="H19" s="129"/>
      <c r="I19" s="150"/>
      <c r="J19" s="138" t="s">
        <v>237</v>
      </c>
      <c r="K19" s="127" t="s">
        <v>223</v>
      </c>
      <c r="L19" s="128">
        <v>2</v>
      </c>
      <c r="M19" s="151" t="s">
        <v>306</v>
      </c>
      <c r="N19" s="129" t="s">
        <v>238</v>
      </c>
      <c r="O19" s="158" t="s">
        <v>353</v>
      </c>
      <c r="Q19" s="72"/>
      <c r="R19" s="73"/>
    </row>
    <row r="20" spans="1:18" ht="20.100000000000001" customHeight="1" x14ac:dyDescent="0.25">
      <c r="A20" s="224"/>
      <c r="B20" s="227"/>
      <c r="C20" s="218"/>
      <c r="D20" s="126"/>
      <c r="E20" s="127"/>
      <c r="F20" s="128"/>
      <c r="G20" s="127"/>
      <c r="H20" s="129"/>
      <c r="I20" s="150"/>
      <c r="J20" s="138" t="s">
        <v>239</v>
      </c>
      <c r="K20" s="127" t="s">
        <v>214</v>
      </c>
      <c r="L20" s="128">
        <v>1</v>
      </c>
      <c r="M20" s="151" t="s">
        <v>307</v>
      </c>
      <c r="N20" s="129" t="s">
        <v>240</v>
      </c>
      <c r="O20" s="159" t="s">
        <v>352</v>
      </c>
      <c r="Q20" s="72"/>
      <c r="R20" s="73"/>
    </row>
    <row r="21" spans="1:18" ht="20.100000000000001" customHeight="1" x14ac:dyDescent="0.25">
      <c r="A21" s="224"/>
      <c r="B21" s="227"/>
      <c r="C21" s="218"/>
      <c r="D21" s="153"/>
      <c r="E21" s="154"/>
      <c r="F21" s="155"/>
      <c r="G21" s="154"/>
      <c r="H21" s="156"/>
      <c r="I21" s="157"/>
      <c r="J21" s="160" t="s">
        <v>241</v>
      </c>
      <c r="K21" s="154" t="s">
        <v>242</v>
      </c>
      <c r="L21" s="155">
        <v>4</v>
      </c>
      <c r="M21" s="161" t="s">
        <v>322</v>
      </c>
      <c r="N21" s="156" t="s">
        <v>243</v>
      </c>
      <c r="O21" s="158" t="s">
        <v>357</v>
      </c>
      <c r="Q21" s="72"/>
      <c r="R21" s="73"/>
    </row>
    <row r="22" spans="1:18" ht="20.100000000000001" customHeight="1" x14ac:dyDescent="0.25">
      <c r="A22" s="224"/>
      <c r="B22" s="227"/>
      <c r="C22" s="218"/>
      <c r="D22" s="153"/>
      <c r="E22" s="154"/>
      <c r="F22" s="155"/>
      <c r="G22" s="154"/>
      <c r="H22" s="156"/>
      <c r="I22" s="157" t="s">
        <v>218</v>
      </c>
      <c r="J22" s="160" t="s">
        <v>146</v>
      </c>
      <c r="K22" s="154" t="s">
        <v>223</v>
      </c>
      <c r="L22" s="155">
        <v>2</v>
      </c>
      <c r="M22" s="125" t="s">
        <v>317</v>
      </c>
      <c r="N22" s="156" t="s">
        <v>224</v>
      </c>
      <c r="O22" s="158" t="s">
        <v>218</v>
      </c>
    </row>
    <row r="23" spans="1:18" ht="20.100000000000001" customHeight="1" x14ac:dyDescent="0.25">
      <c r="A23" s="224"/>
      <c r="B23" s="228"/>
      <c r="C23" s="219"/>
      <c r="D23" s="141"/>
      <c r="E23" s="142"/>
      <c r="F23" s="143"/>
      <c r="G23" s="162" t="s">
        <v>314</v>
      </c>
      <c r="H23" s="145">
        <f>SUM(F16:F22) + 1</f>
        <v>5</v>
      </c>
      <c r="I23" s="146"/>
      <c r="J23" s="147"/>
      <c r="K23" s="142"/>
      <c r="L23" s="143"/>
      <c r="M23" s="144" t="s">
        <v>295</v>
      </c>
      <c r="N23" s="145">
        <f>SUM(L16:L22)</f>
        <v>12</v>
      </c>
      <c r="O23" s="148"/>
      <c r="Q23" s="72"/>
      <c r="R23" s="73"/>
    </row>
    <row r="24" spans="1:18" ht="20.100000000000001" customHeight="1" x14ac:dyDescent="0.25">
      <c r="A24" s="224"/>
      <c r="B24" s="240" t="s">
        <v>245</v>
      </c>
      <c r="C24" s="233" t="s">
        <v>246</v>
      </c>
      <c r="D24" s="112" t="s">
        <v>213</v>
      </c>
      <c r="E24" s="113" t="s">
        <v>214</v>
      </c>
      <c r="F24" s="114">
        <v>1</v>
      </c>
      <c r="G24" s="112" t="s">
        <v>308</v>
      </c>
      <c r="H24" s="115" t="s">
        <v>215</v>
      </c>
      <c r="I24" s="119" t="s">
        <v>354</v>
      </c>
      <c r="J24" s="120" t="s">
        <v>216</v>
      </c>
      <c r="K24" s="113" t="s">
        <v>214</v>
      </c>
      <c r="L24" s="114">
        <v>1</v>
      </c>
      <c r="M24" s="116" t="s">
        <v>217</v>
      </c>
      <c r="N24" s="115" t="s">
        <v>218</v>
      </c>
      <c r="O24" s="104" t="s">
        <v>246</v>
      </c>
      <c r="Q24" s="72"/>
      <c r="R24" s="73"/>
    </row>
    <row r="25" spans="1:18" ht="20.100000000000001" customHeight="1" x14ac:dyDescent="0.25">
      <c r="A25" s="224"/>
      <c r="B25" s="238"/>
      <c r="C25" s="230"/>
      <c r="D25" s="95" t="s">
        <v>232</v>
      </c>
      <c r="E25" s="96" t="s">
        <v>214</v>
      </c>
      <c r="F25" s="97">
        <v>1</v>
      </c>
      <c r="G25" s="95" t="s">
        <v>302</v>
      </c>
      <c r="H25" s="98" t="s">
        <v>233</v>
      </c>
      <c r="I25" s="121" t="s">
        <v>355</v>
      </c>
      <c r="J25" s="100" t="s">
        <v>213</v>
      </c>
      <c r="K25" s="96" t="s">
        <v>214</v>
      </c>
      <c r="L25" s="97">
        <v>1</v>
      </c>
      <c r="M25" s="103" t="s">
        <v>304</v>
      </c>
      <c r="N25" s="98" t="s">
        <v>215</v>
      </c>
      <c r="O25" s="122" t="s">
        <v>349</v>
      </c>
      <c r="Q25" s="72"/>
      <c r="R25" s="73"/>
    </row>
    <row r="26" spans="1:18" ht="20.100000000000001" customHeight="1" x14ac:dyDescent="0.25">
      <c r="A26" s="224"/>
      <c r="B26" s="238"/>
      <c r="C26" s="230"/>
      <c r="D26" s="95" t="s">
        <v>247</v>
      </c>
      <c r="E26" s="96" t="s">
        <v>223</v>
      </c>
      <c r="F26" s="97">
        <v>2</v>
      </c>
      <c r="G26" s="95" t="s">
        <v>309</v>
      </c>
      <c r="H26" s="98" t="s">
        <v>248</v>
      </c>
      <c r="I26" s="121" t="s">
        <v>356</v>
      </c>
      <c r="J26" s="100" t="s">
        <v>232</v>
      </c>
      <c r="K26" s="96" t="s">
        <v>214</v>
      </c>
      <c r="L26" s="97">
        <v>1</v>
      </c>
      <c r="M26" s="103" t="s">
        <v>305</v>
      </c>
      <c r="N26" s="98" t="s">
        <v>236</v>
      </c>
      <c r="O26" s="122" t="s">
        <v>350</v>
      </c>
      <c r="Q26" s="72"/>
      <c r="R26" s="73"/>
    </row>
    <row r="27" spans="1:18" ht="20.100000000000001" customHeight="1" x14ac:dyDescent="0.25">
      <c r="A27" s="224"/>
      <c r="B27" s="238"/>
      <c r="C27" s="230"/>
      <c r="D27" s="95" t="s">
        <v>146</v>
      </c>
      <c r="E27" s="96" t="s">
        <v>223</v>
      </c>
      <c r="F27" s="97">
        <v>2</v>
      </c>
      <c r="G27" t="s">
        <v>317</v>
      </c>
      <c r="H27" s="98" t="s">
        <v>224</v>
      </c>
      <c r="I27" s="121" t="s">
        <v>218</v>
      </c>
      <c r="J27" s="100" t="s">
        <v>247</v>
      </c>
      <c r="K27" s="96" t="s">
        <v>223</v>
      </c>
      <c r="L27" s="97">
        <v>2</v>
      </c>
      <c r="M27" s="103" t="s">
        <v>310</v>
      </c>
      <c r="N27" s="98" t="s">
        <v>248</v>
      </c>
      <c r="O27" s="122" t="s">
        <v>351</v>
      </c>
      <c r="Q27" s="69"/>
      <c r="R27" s="70"/>
    </row>
    <row r="28" spans="1:18" ht="20.100000000000001" customHeight="1" x14ac:dyDescent="0.25">
      <c r="A28" s="224"/>
      <c r="B28" s="238"/>
      <c r="C28" s="230"/>
      <c r="D28" s="95"/>
      <c r="E28" s="96"/>
      <c r="F28" s="97"/>
      <c r="G28" s="96"/>
      <c r="H28" s="98"/>
      <c r="I28" s="121"/>
      <c r="J28" s="100" t="s">
        <v>249</v>
      </c>
      <c r="K28" s="96" t="s">
        <v>250</v>
      </c>
      <c r="L28" s="97">
        <v>247</v>
      </c>
      <c r="M28" s="103" t="s">
        <v>311</v>
      </c>
      <c r="N28" s="98" t="s">
        <v>323</v>
      </c>
      <c r="O28" s="117" t="s">
        <v>251</v>
      </c>
    </row>
    <row r="29" spans="1:18" ht="20.100000000000001" customHeight="1" x14ac:dyDescent="0.25">
      <c r="A29" s="224"/>
      <c r="B29" s="238"/>
      <c r="C29" s="230"/>
      <c r="D29" s="95"/>
      <c r="E29" s="96"/>
      <c r="F29" s="97"/>
      <c r="G29" s="96"/>
      <c r="H29" s="98"/>
      <c r="I29" s="121" t="s">
        <v>218</v>
      </c>
      <c r="J29" s="100" t="s">
        <v>160</v>
      </c>
      <c r="K29" s="96" t="s">
        <v>242</v>
      </c>
      <c r="L29" s="97">
        <v>4</v>
      </c>
      <c r="M29" t="s">
        <v>318</v>
      </c>
      <c r="N29" s="98" t="s">
        <v>243</v>
      </c>
      <c r="O29" s="117" t="s">
        <v>218</v>
      </c>
    </row>
    <row r="30" spans="1:18" ht="20.100000000000001" customHeight="1" x14ac:dyDescent="0.25">
      <c r="A30" s="224"/>
      <c r="B30" s="239"/>
      <c r="C30" s="231"/>
      <c r="D30" s="105"/>
      <c r="E30" s="106"/>
      <c r="F30" s="107"/>
      <c r="G30" s="85" t="s">
        <v>225</v>
      </c>
      <c r="H30" s="108">
        <f>SUM(F24:F27) + 1</f>
        <v>7</v>
      </c>
      <c r="I30" s="109" t="s">
        <v>218</v>
      </c>
      <c r="J30" s="110"/>
      <c r="K30" s="106"/>
      <c r="L30" s="107"/>
      <c r="M30" s="85" t="s">
        <v>295</v>
      </c>
      <c r="N30" s="123">
        <f>SUM(L24:L29)</f>
        <v>256</v>
      </c>
      <c r="O30" s="118"/>
    </row>
    <row r="31" spans="1:18" ht="20.100000000000001" customHeight="1" x14ac:dyDescent="0.25">
      <c r="A31" s="224"/>
      <c r="B31" s="226" t="s">
        <v>252</v>
      </c>
      <c r="C31" s="217" t="s">
        <v>253</v>
      </c>
      <c r="D31" s="163" t="s">
        <v>146</v>
      </c>
      <c r="E31" s="164" t="s">
        <v>223</v>
      </c>
      <c r="F31" s="165">
        <v>2</v>
      </c>
      <c r="G31" s="125" t="s">
        <v>317</v>
      </c>
      <c r="H31" s="166" t="s">
        <v>224</v>
      </c>
      <c r="I31" s="167" t="s">
        <v>218</v>
      </c>
      <c r="J31" s="168" t="s">
        <v>216</v>
      </c>
      <c r="K31" s="164" t="s">
        <v>214</v>
      </c>
      <c r="L31" s="165">
        <v>1</v>
      </c>
      <c r="M31" s="169" t="s">
        <v>217</v>
      </c>
      <c r="N31" s="166" t="s">
        <v>218</v>
      </c>
      <c r="O31" s="136" t="s">
        <v>253</v>
      </c>
    </row>
    <row r="32" spans="1:18" ht="20.100000000000001" customHeight="1" x14ac:dyDescent="0.25">
      <c r="A32" s="224"/>
      <c r="B32" s="227"/>
      <c r="C32" s="218"/>
      <c r="D32" s="126"/>
      <c r="E32" s="127"/>
      <c r="F32" s="128"/>
      <c r="G32" s="127"/>
      <c r="H32" s="129"/>
      <c r="I32" s="150"/>
      <c r="J32" s="138" t="s">
        <v>254</v>
      </c>
      <c r="K32" s="127" t="s">
        <v>214</v>
      </c>
      <c r="L32" s="128">
        <v>1</v>
      </c>
      <c r="M32" s="139" t="s">
        <v>255</v>
      </c>
      <c r="N32" s="129" t="s">
        <v>221</v>
      </c>
      <c r="O32" s="140" t="s">
        <v>315</v>
      </c>
    </row>
    <row r="33" spans="1:15" ht="20.100000000000001" customHeight="1" x14ac:dyDescent="0.25">
      <c r="A33" s="224"/>
      <c r="B33" s="227"/>
      <c r="C33" s="218"/>
      <c r="D33" s="126"/>
      <c r="E33" s="127"/>
      <c r="F33" s="128"/>
      <c r="G33" s="127"/>
      <c r="H33" s="129"/>
      <c r="I33" s="150"/>
      <c r="J33" s="138" t="s">
        <v>256</v>
      </c>
      <c r="K33" s="127" t="s">
        <v>223</v>
      </c>
      <c r="L33" s="128">
        <v>2</v>
      </c>
      <c r="M33" s="139" t="s">
        <v>257</v>
      </c>
      <c r="N33" s="129" t="s">
        <v>258</v>
      </c>
      <c r="O33" s="170" t="s">
        <v>348</v>
      </c>
    </row>
    <row r="34" spans="1:15" ht="20.100000000000001" customHeight="1" x14ac:dyDescent="0.25">
      <c r="A34" s="224"/>
      <c r="B34" s="227"/>
      <c r="C34" s="218"/>
      <c r="D34" s="126"/>
      <c r="E34" s="127"/>
      <c r="F34" s="128"/>
      <c r="G34" s="127"/>
      <c r="H34" s="129"/>
      <c r="I34" s="150"/>
      <c r="J34" s="138" t="s">
        <v>259</v>
      </c>
      <c r="K34" s="127" t="s">
        <v>214</v>
      </c>
      <c r="L34" s="128">
        <v>1</v>
      </c>
      <c r="M34" s="188" t="s">
        <v>342</v>
      </c>
      <c r="N34" s="129" t="s">
        <v>343</v>
      </c>
      <c r="O34" s="170" t="s">
        <v>344</v>
      </c>
    </row>
    <row r="35" spans="1:15" ht="20.100000000000001" customHeight="1" x14ac:dyDescent="0.25">
      <c r="A35" s="224"/>
      <c r="B35" s="227"/>
      <c r="C35" s="218"/>
      <c r="D35" s="126"/>
      <c r="E35" s="127"/>
      <c r="F35" s="128"/>
      <c r="G35" s="127"/>
      <c r="H35" s="129"/>
      <c r="I35" s="150"/>
      <c r="J35" s="138" t="s">
        <v>260</v>
      </c>
      <c r="K35" s="127" t="s">
        <v>223</v>
      </c>
      <c r="L35" s="128">
        <v>2</v>
      </c>
      <c r="M35" s="139" t="s">
        <v>312</v>
      </c>
      <c r="N35" s="129" t="s">
        <v>258</v>
      </c>
      <c r="O35" s="171" t="s">
        <v>345</v>
      </c>
    </row>
    <row r="36" spans="1:15" ht="20.100000000000001" customHeight="1" x14ac:dyDescent="0.25">
      <c r="A36" s="224"/>
      <c r="B36" s="227"/>
      <c r="C36" s="218"/>
      <c r="D36" s="126"/>
      <c r="E36" s="127"/>
      <c r="F36" s="128"/>
      <c r="G36" s="127"/>
      <c r="H36" s="129"/>
      <c r="I36" s="150"/>
      <c r="J36" s="138" t="s">
        <v>261</v>
      </c>
      <c r="K36" s="127" t="s">
        <v>262</v>
      </c>
      <c r="L36" s="128">
        <v>2</v>
      </c>
      <c r="M36" s="139" t="s">
        <v>263</v>
      </c>
      <c r="N36" s="129" t="s">
        <v>264</v>
      </c>
      <c r="O36" s="172" t="s">
        <v>346</v>
      </c>
    </row>
    <row r="37" spans="1:15" ht="20.100000000000001" customHeight="1" x14ac:dyDescent="0.25">
      <c r="A37" s="224"/>
      <c r="B37" s="227"/>
      <c r="C37" s="218"/>
      <c r="D37" s="126"/>
      <c r="E37" s="127"/>
      <c r="F37" s="128"/>
      <c r="G37" s="127"/>
      <c r="H37" s="129"/>
      <c r="I37" s="150"/>
      <c r="J37" s="138" t="s">
        <v>265</v>
      </c>
      <c r="K37" s="127" t="s">
        <v>242</v>
      </c>
      <c r="L37" s="128">
        <v>4</v>
      </c>
      <c r="M37" s="139" t="s">
        <v>313</v>
      </c>
      <c r="N37" s="129" t="s">
        <v>266</v>
      </c>
      <c r="O37" s="140" t="s">
        <v>347</v>
      </c>
    </row>
    <row r="38" spans="1:15" ht="20.100000000000001" customHeight="1" x14ac:dyDescent="0.25">
      <c r="A38" s="224"/>
      <c r="B38" s="227"/>
      <c r="C38" s="218"/>
      <c r="D38" s="126"/>
      <c r="E38" s="127"/>
      <c r="F38" s="128"/>
      <c r="G38" s="127"/>
      <c r="H38" s="129"/>
      <c r="I38" s="150"/>
      <c r="J38" s="160" t="s">
        <v>146</v>
      </c>
      <c r="K38" s="154" t="s">
        <v>223</v>
      </c>
      <c r="L38" s="155">
        <v>2</v>
      </c>
      <c r="M38" s="125" t="s">
        <v>317</v>
      </c>
      <c r="N38" s="156" t="s">
        <v>224</v>
      </c>
      <c r="O38" s="158" t="s">
        <v>218</v>
      </c>
    </row>
    <row r="39" spans="1:15" ht="20.100000000000001" customHeight="1" x14ac:dyDescent="0.25">
      <c r="A39" s="225"/>
      <c r="B39" s="228"/>
      <c r="C39" s="219"/>
      <c r="D39" s="173"/>
      <c r="E39" s="174"/>
      <c r="F39" s="175"/>
      <c r="G39" s="176" t="s">
        <v>303</v>
      </c>
      <c r="H39" s="145">
        <f>SUM(F31:F38) + 1</f>
        <v>3</v>
      </c>
      <c r="I39" s="177" t="s">
        <v>218</v>
      </c>
      <c r="J39" s="178"/>
      <c r="K39" s="174"/>
      <c r="L39" s="175"/>
      <c r="M39" s="176" t="s">
        <v>295</v>
      </c>
      <c r="N39" s="145">
        <f>SUM(L31:L38)</f>
        <v>15</v>
      </c>
      <c r="O39" s="179"/>
    </row>
  </sheetData>
  <mergeCells count="16">
    <mergeCell ref="C31:C39"/>
    <mergeCell ref="J1:O1"/>
    <mergeCell ref="A3:A39"/>
    <mergeCell ref="B31:B39"/>
    <mergeCell ref="C3:C6"/>
    <mergeCell ref="B16:B23"/>
    <mergeCell ref="C24:C30"/>
    <mergeCell ref="B7:B10"/>
    <mergeCell ref="B1:I1"/>
    <mergeCell ref="A1:A2"/>
    <mergeCell ref="B3:B6"/>
    <mergeCell ref="B24:B30"/>
    <mergeCell ref="C11:C15"/>
    <mergeCell ref="C16:C23"/>
    <mergeCell ref="C7:C10"/>
    <mergeCell ref="B11:B15"/>
  </mergeCells>
  <phoneticPr fontId="15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5"/>
  <sheetViews>
    <sheetView showGridLines="0" workbookViewId="0">
      <selection sqref="A1:A2"/>
    </sheetView>
  </sheetViews>
  <sheetFormatPr defaultRowHeight="15" x14ac:dyDescent="0.25"/>
  <cols>
    <col min="1" max="1" width="12" style="10" customWidth="1"/>
    <col min="2" max="2" width="22" style="10" customWidth="1"/>
    <col min="3" max="3" width="10" style="10" customWidth="1"/>
    <col min="4" max="4" width="18" style="10" customWidth="1"/>
    <col min="5" max="5" width="14.28515625" style="10" customWidth="1"/>
    <col min="6" max="6" width="14.7109375" style="1" customWidth="1"/>
    <col min="7" max="8" width="20.140625" style="10" customWidth="1"/>
    <col min="9" max="9" width="19.85546875" style="10" customWidth="1"/>
    <col min="10" max="10" width="12" style="10" customWidth="1"/>
    <col min="11" max="11" width="12.140625" style="1" customWidth="1"/>
    <col min="12" max="12" width="39.85546875" style="10" customWidth="1"/>
    <col min="13" max="13" width="3" style="10" customWidth="1"/>
    <col min="14" max="14" width="14" style="10" customWidth="1"/>
    <col min="15" max="15" width="28" style="10" customWidth="1"/>
  </cols>
  <sheetData>
    <row r="1" spans="1:15" ht="21.95" customHeight="1" x14ac:dyDescent="0.25">
      <c r="A1" s="244" t="s">
        <v>200</v>
      </c>
      <c r="B1" s="263" t="s">
        <v>201</v>
      </c>
      <c r="C1" s="261"/>
      <c r="D1" s="261"/>
      <c r="E1" s="261"/>
      <c r="F1" s="261"/>
      <c r="G1" s="211"/>
      <c r="H1" s="59"/>
      <c r="I1" s="260" t="s">
        <v>267</v>
      </c>
      <c r="J1" s="261"/>
      <c r="K1" s="261"/>
      <c r="L1" s="211"/>
    </row>
    <row r="2" spans="1:15" ht="20.100000000000001" customHeight="1" x14ac:dyDescent="0.25">
      <c r="A2" s="245"/>
      <c r="B2" s="15" t="s">
        <v>202</v>
      </c>
      <c r="C2" s="15" t="s">
        <v>203</v>
      </c>
      <c r="D2" s="15" t="s">
        <v>204</v>
      </c>
      <c r="E2" s="15" t="s">
        <v>205</v>
      </c>
      <c r="F2" s="20" t="s">
        <v>206</v>
      </c>
      <c r="G2" s="15" t="s">
        <v>43</v>
      </c>
      <c r="H2" s="68" t="s">
        <v>208</v>
      </c>
      <c r="I2" s="50" t="s">
        <v>209</v>
      </c>
      <c r="J2" s="15" t="s">
        <v>205</v>
      </c>
      <c r="K2" s="20" t="s">
        <v>206</v>
      </c>
      <c r="L2" s="15" t="s">
        <v>43</v>
      </c>
    </row>
    <row r="3" spans="1:15" ht="18" customHeight="1" x14ac:dyDescent="0.25">
      <c r="A3" s="249" t="s">
        <v>210</v>
      </c>
      <c r="B3" s="252" t="s">
        <v>211</v>
      </c>
      <c r="C3" s="262" t="s">
        <v>212</v>
      </c>
      <c r="D3" s="13" t="s">
        <v>213</v>
      </c>
      <c r="E3" s="16" t="s">
        <v>214</v>
      </c>
      <c r="F3" s="21">
        <v>1</v>
      </c>
      <c r="G3" s="16" t="s">
        <v>215</v>
      </c>
      <c r="H3" s="60"/>
      <c r="I3" s="52" t="s">
        <v>216</v>
      </c>
      <c r="J3" s="16" t="s">
        <v>214</v>
      </c>
      <c r="K3" s="21">
        <v>1</v>
      </c>
      <c r="L3" s="38" t="s">
        <v>212</v>
      </c>
    </row>
    <row r="4" spans="1:15" ht="18" customHeight="1" x14ac:dyDescent="0.25">
      <c r="A4" s="250"/>
      <c r="B4" s="247"/>
      <c r="C4" s="254"/>
      <c r="D4" s="13" t="s">
        <v>219</v>
      </c>
      <c r="E4" s="16" t="s">
        <v>214</v>
      </c>
      <c r="F4" s="21" t="s">
        <v>220</v>
      </c>
      <c r="G4" s="16" t="s">
        <v>221</v>
      </c>
      <c r="H4" s="60"/>
      <c r="I4" s="52" t="s">
        <v>68</v>
      </c>
      <c r="J4" s="16" t="s">
        <v>214</v>
      </c>
      <c r="K4" s="21" t="s">
        <v>220</v>
      </c>
      <c r="L4" s="38" t="s">
        <v>69</v>
      </c>
    </row>
    <row r="5" spans="1:15" ht="18" customHeight="1" x14ac:dyDescent="0.25">
      <c r="A5" s="250"/>
      <c r="B5" s="248"/>
      <c r="C5" s="245"/>
      <c r="D5" s="28"/>
      <c r="E5" s="27"/>
      <c r="F5" s="29"/>
      <c r="G5" s="30" t="s">
        <v>244</v>
      </c>
      <c r="H5" s="61"/>
      <c r="I5" s="53"/>
      <c r="J5" s="27"/>
      <c r="K5" s="29"/>
      <c r="L5" s="30" t="s">
        <v>229</v>
      </c>
    </row>
    <row r="6" spans="1:15" ht="18" customHeight="1" x14ac:dyDescent="0.25">
      <c r="A6" s="250"/>
      <c r="B6" s="258" t="s">
        <v>226</v>
      </c>
      <c r="C6" s="255" t="s">
        <v>227</v>
      </c>
      <c r="D6" s="24" t="s">
        <v>228</v>
      </c>
      <c r="E6" s="25" t="s">
        <v>228</v>
      </c>
      <c r="F6" s="26" t="s">
        <v>228</v>
      </c>
      <c r="G6" s="25"/>
      <c r="H6" s="62"/>
      <c r="I6" s="54" t="s">
        <v>216</v>
      </c>
      <c r="J6" s="25" t="s">
        <v>214</v>
      </c>
      <c r="K6" s="26">
        <v>1</v>
      </c>
      <c r="L6" s="39" t="s">
        <v>227</v>
      </c>
    </row>
    <row r="7" spans="1:15" ht="18" customHeight="1" x14ac:dyDescent="0.25">
      <c r="A7" s="250"/>
      <c r="B7" s="247"/>
      <c r="C7" s="254"/>
      <c r="D7" s="22"/>
      <c r="E7" s="18"/>
      <c r="F7" s="23"/>
      <c r="G7" s="18"/>
      <c r="H7" s="63"/>
      <c r="I7" s="55" t="s">
        <v>68</v>
      </c>
      <c r="J7" s="18" t="s">
        <v>214</v>
      </c>
      <c r="K7" s="23">
        <v>1</v>
      </c>
      <c r="L7" s="40" t="s">
        <v>69</v>
      </c>
    </row>
    <row r="8" spans="1:15" ht="18" customHeight="1" x14ac:dyDescent="0.25">
      <c r="A8" s="250"/>
      <c r="B8" s="248"/>
      <c r="C8" s="245"/>
      <c r="D8" s="35"/>
      <c r="E8" s="34"/>
      <c r="F8" s="36"/>
      <c r="G8" s="37" t="s">
        <v>268</v>
      </c>
      <c r="H8" s="64"/>
      <c r="I8" s="56"/>
      <c r="J8" s="34"/>
      <c r="K8" s="36"/>
      <c r="L8" s="37" t="s">
        <v>229</v>
      </c>
    </row>
    <row r="9" spans="1:15" ht="18" customHeight="1" x14ac:dyDescent="0.25">
      <c r="A9" s="250"/>
      <c r="B9" s="259" t="s">
        <v>230</v>
      </c>
      <c r="C9" s="256" t="s">
        <v>231</v>
      </c>
      <c r="D9" s="31" t="s">
        <v>213</v>
      </c>
      <c r="E9" s="32" t="s">
        <v>214</v>
      </c>
      <c r="F9" s="33">
        <v>1</v>
      </c>
      <c r="G9" s="32" t="s">
        <v>215</v>
      </c>
      <c r="H9" s="65"/>
      <c r="I9" s="57" t="s">
        <v>216</v>
      </c>
      <c r="J9" s="32" t="s">
        <v>214</v>
      </c>
      <c r="K9" s="33">
        <v>1</v>
      </c>
      <c r="L9" s="41" t="s">
        <v>231</v>
      </c>
    </row>
    <row r="10" spans="1:15" ht="18" customHeight="1" x14ac:dyDescent="0.25">
      <c r="A10" s="250"/>
      <c r="B10" s="247"/>
      <c r="C10" s="254"/>
      <c r="D10" s="13" t="s">
        <v>232</v>
      </c>
      <c r="E10" s="16" t="s">
        <v>214</v>
      </c>
      <c r="F10" s="21">
        <v>1</v>
      </c>
      <c r="G10" s="16" t="s">
        <v>233</v>
      </c>
      <c r="H10" s="60"/>
      <c r="I10" s="52" t="s">
        <v>68</v>
      </c>
      <c r="J10" s="16" t="s">
        <v>214</v>
      </c>
      <c r="K10" s="21" t="s">
        <v>220</v>
      </c>
      <c r="L10" s="38" t="s">
        <v>69</v>
      </c>
    </row>
    <row r="11" spans="1:15" ht="18" customHeight="1" x14ac:dyDescent="0.25">
      <c r="A11" s="250"/>
      <c r="B11" s="248"/>
      <c r="C11" s="245"/>
      <c r="D11" s="28"/>
      <c r="E11" s="27"/>
      <c r="F11" s="29"/>
      <c r="G11" s="30" t="s">
        <v>244</v>
      </c>
      <c r="H11" s="61"/>
      <c r="I11" s="53"/>
      <c r="J11" s="27"/>
      <c r="K11" s="29"/>
      <c r="L11" s="30" t="s">
        <v>229</v>
      </c>
    </row>
    <row r="12" spans="1:15" ht="18" customHeight="1" x14ac:dyDescent="0.25">
      <c r="A12" s="250"/>
      <c r="B12" s="258" t="s">
        <v>234</v>
      </c>
      <c r="C12" s="255" t="s">
        <v>235</v>
      </c>
      <c r="D12" s="24" t="s">
        <v>213</v>
      </c>
      <c r="E12" s="25" t="s">
        <v>214</v>
      </c>
      <c r="F12" s="26">
        <v>1</v>
      </c>
      <c r="G12" s="25" t="s">
        <v>215</v>
      </c>
      <c r="H12" s="62"/>
      <c r="I12" s="54" t="s">
        <v>216</v>
      </c>
      <c r="J12" s="25" t="s">
        <v>214</v>
      </c>
      <c r="K12" s="26">
        <v>1</v>
      </c>
      <c r="L12" s="39" t="s">
        <v>235</v>
      </c>
      <c r="N12" s="71"/>
      <c r="O12" s="71"/>
    </row>
    <row r="13" spans="1:15" ht="18" customHeight="1" x14ac:dyDescent="0.25">
      <c r="A13" s="250"/>
      <c r="B13" s="247"/>
      <c r="C13" s="254"/>
      <c r="D13" s="22" t="s">
        <v>232</v>
      </c>
      <c r="E13" s="18" t="s">
        <v>214</v>
      </c>
      <c r="F13" s="23">
        <v>1</v>
      </c>
      <c r="G13" s="18" t="s">
        <v>233</v>
      </c>
      <c r="H13" s="63"/>
      <c r="I13" s="55" t="s">
        <v>213</v>
      </c>
      <c r="J13" s="18" t="s">
        <v>214</v>
      </c>
      <c r="K13" s="23">
        <v>1</v>
      </c>
      <c r="L13" s="40" t="s">
        <v>215</v>
      </c>
      <c r="N13" s="72"/>
      <c r="O13" s="73"/>
    </row>
    <row r="14" spans="1:15" ht="18" customHeight="1" x14ac:dyDescent="0.25">
      <c r="A14" s="250"/>
      <c r="B14" s="247"/>
      <c r="C14" s="254"/>
      <c r="D14" s="22"/>
      <c r="E14" s="18"/>
      <c r="F14" s="23"/>
      <c r="G14" s="18"/>
      <c r="H14" s="63"/>
      <c r="I14" s="55" t="s">
        <v>232</v>
      </c>
      <c r="J14" s="18" t="s">
        <v>214</v>
      </c>
      <c r="K14" s="23">
        <v>1</v>
      </c>
      <c r="L14" s="40" t="s">
        <v>236</v>
      </c>
      <c r="N14" s="72"/>
      <c r="O14" s="73"/>
    </row>
    <row r="15" spans="1:15" ht="18" customHeight="1" x14ac:dyDescent="0.25">
      <c r="A15" s="250"/>
      <c r="B15" s="247"/>
      <c r="C15" s="254"/>
      <c r="D15" s="22"/>
      <c r="E15" s="18"/>
      <c r="F15" s="23"/>
      <c r="G15" s="18"/>
      <c r="H15" s="63"/>
      <c r="I15" s="55" t="s">
        <v>237</v>
      </c>
      <c r="J15" s="18" t="s">
        <v>223</v>
      </c>
      <c r="K15" s="23">
        <v>2</v>
      </c>
      <c r="L15" s="40" t="s">
        <v>269</v>
      </c>
      <c r="N15" s="72"/>
      <c r="O15" s="73"/>
    </row>
    <row r="16" spans="1:15" ht="18" customHeight="1" x14ac:dyDescent="0.25">
      <c r="A16" s="250"/>
      <c r="B16" s="247"/>
      <c r="C16" s="254"/>
      <c r="D16" s="22"/>
      <c r="E16" s="18"/>
      <c r="F16" s="23"/>
      <c r="G16" s="18"/>
      <c r="H16" s="63"/>
      <c r="I16" s="55" t="s">
        <v>239</v>
      </c>
      <c r="J16" s="18" t="s">
        <v>214</v>
      </c>
      <c r="K16" s="23">
        <v>1</v>
      </c>
      <c r="L16" s="40" t="s">
        <v>270</v>
      </c>
      <c r="N16" s="72"/>
      <c r="O16" s="73"/>
    </row>
    <row r="17" spans="1:15" ht="18" customHeight="1" x14ac:dyDescent="0.25">
      <c r="A17" s="250"/>
      <c r="B17" s="248"/>
      <c r="C17" s="245"/>
      <c r="D17" s="35"/>
      <c r="E17" s="34"/>
      <c r="F17" s="36"/>
      <c r="G17" s="37" t="s">
        <v>244</v>
      </c>
      <c r="H17" s="64"/>
      <c r="I17" s="56"/>
      <c r="J17" s="34"/>
      <c r="K17" s="36"/>
      <c r="L17" s="37" t="s">
        <v>271</v>
      </c>
      <c r="N17" s="72"/>
      <c r="O17" s="73"/>
    </row>
    <row r="18" spans="1:15" ht="18" customHeight="1" x14ac:dyDescent="0.25">
      <c r="A18" s="250"/>
      <c r="B18" s="259" t="s">
        <v>245</v>
      </c>
      <c r="C18" s="256" t="s">
        <v>246</v>
      </c>
      <c r="D18" s="31" t="s">
        <v>213</v>
      </c>
      <c r="E18" s="32" t="s">
        <v>214</v>
      </c>
      <c r="F18" s="33">
        <v>1</v>
      </c>
      <c r="G18" s="32" t="s">
        <v>215</v>
      </c>
      <c r="H18" s="65"/>
      <c r="I18" s="57" t="s">
        <v>216</v>
      </c>
      <c r="J18" s="32" t="s">
        <v>214</v>
      </c>
      <c r="K18" s="33">
        <v>1</v>
      </c>
      <c r="L18" s="41" t="s">
        <v>246</v>
      </c>
      <c r="N18" s="72"/>
      <c r="O18" s="73"/>
    </row>
    <row r="19" spans="1:15" ht="18" customHeight="1" x14ac:dyDescent="0.25">
      <c r="A19" s="250"/>
      <c r="B19" s="247"/>
      <c r="C19" s="254"/>
      <c r="D19" s="13" t="s">
        <v>232</v>
      </c>
      <c r="E19" s="16" t="s">
        <v>214</v>
      </c>
      <c r="F19" s="21">
        <v>1</v>
      </c>
      <c r="G19" s="16" t="s">
        <v>233</v>
      </c>
      <c r="H19" s="60"/>
      <c r="I19" s="52" t="s">
        <v>213</v>
      </c>
      <c r="J19" s="16" t="s">
        <v>214</v>
      </c>
      <c r="K19" s="21">
        <v>1</v>
      </c>
      <c r="L19" s="38" t="s">
        <v>215</v>
      </c>
      <c r="N19" s="72"/>
      <c r="O19" s="73"/>
    </row>
    <row r="20" spans="1:15" ht="18" customHeight="1" x14ac:dyDescent="0.25">
      <c r="A20" s="250"/>
      <c r="B20" s="247"/>
      <c r="C20" s="254"/>
      <c r="D20" s="13" t="s">
        <v>247</v>
      </c>
      <c r="E20" s="16" t="s">
        <v>223</v>
      </c>
      <c r="F20" s="21">
        <v>2</v>
      </c>
      <c r="G20" s="16" t="s">
        <v>258</v>
      </c>
      <c r="H20" s="60"/>
      <c r="I20" s="52" t="s">
        <v>232</v>
      </c>
      <c r="J20" s="16" t="s">
        <v>214</v>
      </c>
      <c r="K20" s="21">
        <v>1</v>
      </c>
      <c r="L20" s="38" t="s">
        <v>236</v>
      </c>
      <c r="N20" s="72"/>
      <c r="O20" s="73"/>
    </row>
    <row r="21" spans="1:15" ht="18" customHeight="1" x14ac:dyDescent="0.25">
      <c r="A21" s="250"/>
      <c r="B21" s="247"/>
      <c r="C21" s="254"/>
      <c r="D21" s="13"/>
      <c r="E21" s="16"/>
      <c r="F21" s="21"/>
      <c r="G21" s="16"/>
      <c r="H21" s="60"/>
      <c r="I21" s="52" t="s">
        <v>247</v>
      </c>
      <c r="J21" s="16" t="s">
        <v>223</v>
      </c>
      <c r="K21" s="21">
        <v>2</v>
      </c>
      <c r="L21" s="38" t="s">
        <v>272</v>
      </c>
      <c r="N21" s="69"/>
      <c r="O21" s="70"/>
    </row>
    <row r="22" spans="1:15" ht="18" customHeight="1" x14ac:dyDescent="0.25">
      <c r="A22" s="250"/>
      <c r="B22" s="247"/>
      <c r="C22" s="254"/>
      <c r="D22" s="13"/>
      <c r="E22" s="16"/>
      <c r="F22" s="21"/>
      <c r="G22" s="16"/>
      <c r="H22" s="60"/>
      <c r="I22" s="52" t="s">
        <v>249</v>
      </c>
      <c r="J22" s="16" t="s">
        <v>250</v>
      </c>
      <c r="K22" s="21">
        <v>251</v>
      </c>
      <c r="L22" s="38" t="s">
        <v>273</v>
      </c>
    </row>
    <row r="23" spans="1:15" ht="18" customHeight="1" x14ac:dyDescent="0.25">
      <c r="A23" s="250"/>
      <c r="B23" s="248"/>
      <c r="C23" s="245"/>
      <c r="D23" s="28"/>
      <c r="E23" s="27"/>
      <c r="F23" s="29"/>
      <c r="G23" s="30" t="s">
        <v>274</v>
      </c>
      <c r="H23" s="61"/>
      <c r="I23" s="53"/>
      <c r="J23" s="27"/>
      <c r="K23" s="29"/>
      <c r="L23" s="30" t="s">
        <v>275</v>
      </c>
    </row>
    <row r="24" spans="1:15" ht="18" customHeight="1" x14ac:dyDescent="0.25">
      <c r="A24" s="250"/>
      <c r="B24" s="246" t="s">
        <v>252</v>
      </c>
      <c r="C24" s="253" t="s">
        <v>253</v>
      </c>
      <c r="D24" s="44" t="s">
        <v>228</v>
      </c>
      <c r="E24" s="45" t="s">
        <v>228</v>
      </c>
      <c r="F24" s="46" t="s">
        <v>228</v>
      </c>
      <c r="G24" s="45"/>
      <c r="H24" s="66"/>
      <c r="I24" s="58" t="s">
        <v>216</v>
      </c>
      <c r="J24" s="45" t="s">
        <v>214</v>
      </c>
      <c r="K24" s="46">
        <v>1</v>
      </c>
      <c r="L24" s="47" t="s">
        <v>253</v>
      </c>
    </row>
    <row r="25" spans="1:15" ht="18" customHeight="1" x14ac:dyDescent="0.25">
      <c r="A25" s="250"/>
      <c r="B25" s="247"/>
      <c r="C25" s="254"/>
      <c r="D25" s="22"/>
      <c r="E25" s="18"/>
      <c r="F25" s="23"/>
      <c r="G25" s="18"/>
      <c r="H25" s="63"/>
      <c r="I25" s="55" t="s">
        <v>254</v>
      </c>
      <c r="J25" s="18" t="s">
        <v>214</v>
      </c>
      <c r="K25" s="23">
        <v>1</v>
      </c>
      <c r="L25" s="40" t="s">
        <v>276</v>
      </c>
    </row>
    <row r="26" spans="1:15" ht="18" customHeight="1" x14ac:dyDescent="0.25">
      <c r="A26" s="250"/>
      <c r="B26" s="247"/>
      <c r="C26" s="254"/>
      <c r="D26" s="22"/>
      <c r="E26" s="18"/>
      <c r="F26" s="23"/>
      <c r="G26" s="18"/>
      <c r="H26" s="63"/>
      <c r="I26" s="55" t="s">
        <v>256</v>
      </c>
      <c r="J26" s="18" t="s">
        <v>223</v>
      </c>
      <c r="K26" s="23">
        <v>2</v>
      </c>
      <c r="L26" s="40" t="s">
        <v>277</v>
      </c>
    </row>
    <row r="27" spans="1:15" ht="18" customHeight="1" x14ac:dyDescent="0.25">
      <c r="A27" s="250"/>
      <c r="B27" s="247"/>
      <c r="C27" s="254"/>
      <c r="D27" s="22"/>
      <c r="E27" s="18"/>
      <c r="F27" s="23"/>
      <c r="G27" s="18"/>
      <c r="H27" s="63"/>
      <c r="I27" s="55" t="s">
        <v>259</v>
      </c>
      <c r="J27" s="18" t="s">
        <v>214</v>
      </c>
      <c r="K27" s="23">
        <v>1</v>
      </c>
      <c r="L27" s="40" t="s">
        <v>278</v>
      </c>
    </row>
    <row r="28" spans="1:15" ht="18" customHeight="1" x14ac:dyDescent="0.25">
      <c r="A28" s="250"/>
      <c r="B28" s="247"/>
      <c r="C28" s="254"/>
      <c r="D28" s="22"/>
      <c r="E28" s="18"/>
      <c r="F28" s="23"/>
      <c r="G28" s="18"/>
      <c r="H28" s="63"/>
      <c r="I28" s="55" t="s">
        <v>260</v>
      </c>
      <c r="J28" s="18" t="s">
        <v>223</v>
      </c>
      <c r="K28" s="23">
        <v>2</v>
      </c>
      <c r="L28" s="40" t="s">
        <v>279</v>
      </c>
    </row>
    <row r="29" spans="1:15" ht="18" customHeight="1" x14ac:dyDescent="0.25">
      <c r="A29" s="250"/>
      <c r="B29" s="247"/>
      <c r="C29" s="254"/>
      <c r="D29" s="22"/>
      <c r="E29" s="18"/>
      <c r="F29" s="23"/>
      <c r="G29" s="18"/>
      <c r="H29" s="63"/>
      <c r="I29" s="55" t="s">
        <v>261</v>
      </c>
      <c r="J29" s="18" t="s">
        <v>262</v>
      </c>
      <c r="K29" s="23">
        <v>2</v>
      </c>
      <c r="L29" s="40" t="s">
        <v>280</v>
      </c>
    </row>
    <row r="30" spans="1:15" ht="18" customHeight="1" x14ac:dyDescent="0.25">
      <c r="A30" s="250"/>
      <c r="B30" s="247"/>
      <c r="C30" s="254"/>
      <c r="D30" s="22"/>
      <c r="E30" s="18"/>
      <c r="F30" s="23"/>
      <c r="G30" s="18"/>
      <c r="H30" s="63"/>
      <c r="I30" s="55" t="s">
        <v>265</v>
      </c>
      <c r="J30" s="18" t="s">
        <v>242</v>
      </c>
      <c r="K30" s="23">
        <v>4</v>
      </c>
      <c r="L30" s="40" t="s">
        <v>281</v>
      </c>
    </row>
    <row r="31" spans="1:15" ht="18" customHeight="1" x14ac:dyDescent="0.25">
      <c r="A31" s="250"/>
      <c r="B31" s="248"/>
      <c r="C31" s="245"/>
      <c r="D31" s="35"/>
      <c r="E31" s="34"/>
      <c r="F31" s="36"/>
      <c r="G31" s="37" t="s">
        <v>268</v>
      </c>
      <c r="H31" s="64"/>
      <c r="I31" s="56"/>
      <c r="J31" s="34"/>
      <c r="K31" s="36"/>
      <c r="L31" s="37" t="s">
        <v>282</v>
      </c>
    </row>
    <row r="32" spans="1:15" ht="18" customHeight="1" x14ac:dyDescent="0.25">
      <c r="A32" s="250"/>
      <c r="B32" s="257" t="s">
        <v>283</v>
      </c>
      <c r="C32" s="256" t="s">
        <v>284</v>
      </c>
      <c r="D32" s="31" t="s">
        <v>285</v>
      </c>
      <c r="E32" s="32" t="s">
        <v>223</v>
      </c>
      <c r="F32" s="33">
        <v>2</v>
      </c>
      <c r="G32" s="32" t="s">
        <v>258</v>
      </c>
      <c r="H32" s="65"/>
      <c r="I32" s="57" t="s">
        <v>216</v>
      </c>
      <c r="J32" s="32" t="s">
        <v>214</v>
      </c>
      <c r="K32" s="33">
        <v>1</v>
      </c>
      <c r="L32" s="41" t="s">
        <v>284</v>
      </c>
    </row>
    <row r="33" spans="1:12" ht="18" customHeight="1" x14ac:dyDescent="0.25">
      <c r="A33" s="250"/>
      <c r="B33" s="254"/>
      <c r="C33" s="254"/>
      <c r="D33" s="13" t="s">
        <v>286</v>
      </c>
      <c r="E33" s="16" t="s">
        <v>287</v>
      </c>
      <c r="F33" s="21" t="s">
        <v>288</v>
      </c>
      <c r="G33" s="16" t="s">
        <v>289</v>
      </c>
      <c r="H33" s="60"/>
      <c r="I33" s="84" t="s">
        <v>290</v>
      </c>
      <c r="J33" s="16" t="s">
        <v>223</v>
      </c>
      <c r="K33" s="21">
        <v>2</v>
      </c>
      <c r="L33" s="17"/>
    </row>
    <row r="34" spans="1:12" ht="18" customHeight="1" x14ac:dyDescent="0.25">
      <c r="A34" s="250"/>
      <c r="B34" s="254"/>
      <c r="C34" s="254"/>
      <c r="D34" s="13"/>
      <c r="E34" s="16"/>
      <c r="F34" s="21"/>
      <c r="G34" s="16" t="s">
        <v>291</v>
      </c>
      <c r="H34" s="60"/>
      <c r="I34" s="57" t="s">
        <v>292</v>
      </c>
      <c r="J34" s="16" t="s">
        <v>293</v>
      </c>
      <c r="K34" s="21"/>
      <c r="L34" s="17"/>
    </row>
    <row r="35" spans="1:12" ht="18" customHeight="1" x14ac:dyDescent="0.25">
      <c r="A35" s="251"/>
      <c r="B35" s="245"/>
      <c r="C35" s="245"/>
      <c r="D35" s="28"/>
      <c r="E35" s="27"/>
      <c r="F35" s="29"/>
      <c r="G35" s="27" t="s">
        <v>294</v>
      </c>
      <c r="H35" s="67"/>
      <c r="I35" s="53"/>
      <c r="J35" s="27"/>
      <c r="K35" s="29"/>
      <c r="L35" s="48" t="s">
        <v>294</v>
      </c>
    </row>
  </sheetData>
  <mergeCells count="18">
    <mergeCell ref="I1:L1"/>
    <mergeCell ref="C12:C17"/>
    <mergeCell ref="C3:C5"/>
    <mergeCell ref="B1:G1"/>
    <mergeCell ref="B9:B11"/>
    <mergeCell ref="C9:C11"/>
    <mergeCell ref="A1:A2"/>
    <mergeCell ref="B24:B31"/>
    <mergeCell ref="A3:A35"/>
    <mergeCell ref="B3:B5"/>
    <mergeCell ref="C24:C31"/>
    <mergeCell ref="C6:C8"/>
    <mergeCell ref="C32:C35"/>
    <mergeCell ref="B32:B35"/>
    <mergeCell ref="B6:B8"/>
    <mergeCell ref="C18:C23"/>
    <mergeCell ref="B18:B23"/>
    <mergeCell ref="B12:B17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00_DocInfo</vt:lpstr>
      <vt:lpstr>01_FLOW</vt:lpstr>
      <vt:lpstr>02_Protocol</vt:lpstr>
      <vt:lpstr>03_CRC</vt:lpstr>
      <vt:lpstr>04_Interface-CRC</vt:lpstr>
      <vt:lpstr>구_Interface_폐기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sykang</dc:creator>
  <cp:lastModifiedBy>무인탐사연구소 UEL</cp:lastModifiedBy>
  <dcterms:created xsi:type="dcterms:W3CDTF">2026-02-05T09:39:30Z</dcterms:created>
  <dcterms:modified xsi:type="dcterms:W3CDTF">2026-04-16T08:34:12Z</dcterms:modified>
</cp:coreProperties>
</file>